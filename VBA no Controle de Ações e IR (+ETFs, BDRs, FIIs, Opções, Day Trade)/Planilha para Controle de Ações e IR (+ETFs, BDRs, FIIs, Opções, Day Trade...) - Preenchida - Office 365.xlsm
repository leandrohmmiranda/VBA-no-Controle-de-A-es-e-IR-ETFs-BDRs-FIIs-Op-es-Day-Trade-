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andro Henrique\Nextcloud\Leandro\Eu\Hashtag\Hashtag Treinamentos\Controle de Ações e IR (+ETFs, BDRs, FIIs, Opções, Day Trade)\"/>
    </mc:Choice>
  </mc:AlternateContent>
  <xr:revisionPtr revIDLastSave="0" documentId="13_ncr:1_{37D6EFC7-7C75-4A13-AEC1-DD19F1410B33}" xr6:coauthVersionLast="47" xr6:coauthVersionMax="47" xr10:uidLastSave="{00000000-0000-0000-0000-000000000000}"/>
  <bookViews>
    <workbookView xWindow="-120" yWindow="-120" windowWidth="29040" windowHeight="15840" tabRatio="876" xr2:uid="{7F1D48E0-DAF6-4FA5-88C8-44DB526EEE76}"/>
  </bookViews>
  <sheets>
    <sheet name="Instruções" sheetId="18" r:id="rId1"/>
    <sheet name="Macros" sheetId="17" r:id="rId2"/>
    <sheet name="Notas" sheetId="1" r:id="rId3"/>
    <sheet name="Notas Day Trade" sheetId="6" r:id="rId4"/>
    <sheet name="Movimentações" sheetId="2" r:id="rId5"/>
    <sheet name="Resumo" sheetId="4" r:id="rId6"/>
    <sheet name="Imposto de Renda" sheetId="7" r:id="rId7"/>
    <sheet name="Imposto de Renda Day Trade" sheetId="9" r:id="rId8"/>
    <sheet name="Imposto de Renda F.I.I." sheetId="10" r:id="rId9"/>
    <sheet name="DARF a Pagar" sheetId="11" r:id="rId10"/>
    <sheet name="Bens e Direitos" sheetId="12" r:id="rId11"/>
    <sheet name="Operações Comuns - Day Trade" sheetId="14" r:id="rId12"/>
    <sheet name="Operações Fundos Invest. Imob." sheetId="15" r:id="rId13"/>
    <sheet name="Cotações" sheetId="5" r:id="rId14"/>
    <sheet name="Opções" sheetId="3" r:id="rId15"/>
    <sheet name="Feriados" sheetId="8" r:id="rId16"/>
    <sheet name="Empresas Listadas" sheetId="13" r:id="rId17"/>
    <sheet name="Ações Isentas" sheetId="16" r:id="rId18"/>
  </sheets>
  <definedNames>
    <definedName name="_xlnm._FilterDatabase" localSheetId="15" hidden="1">Feriados!$E$1:$O$481</definedName>
    <definedName name="Ativos" localSheetId="5">_xlfn.ANCHORARRAY(Resumo!$F$2)</definedName>
    <definedName name="AtivosLucro" localSheetId="5">OFFSET(Resumo!$U$2,,,MAX(COUNTA(Resumo!$U:$U)-1,1))</definedName>
    <definedName name="AtivosPrejuizo" localSheetId="5">OFFSET(Resumo!$S$2,,,MAX(COUNTA(Resumo!$S:$S)-1,1))</definedName>
    <definedName name="IntervaloLucro" localSheetId="5">OFFSET(Resumo!$V$2,,,MAX(COUNTA(Resumo!$V:$V)-1,1))</definedName>
    <definedName name="IntervaloPrejuizo" localSheetId="5">OFFSET(Resumo!$T$2,,,MAX(COUNTA(Resumo!$T:$T)-1,1))</definedName>
    <definedName name="ValorAtual" localSheetId="5">_xlfn.ANCHORARRAY(Resumo!$K$2)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L28" i="1" l="1"/>
  <c r="M28" i="1"/>
  <c r="N28" i="1" s="1"/>
  <c r="L27" i="1"/>
  <c r="M27" i="1"/>
  <c r="L8" i="6"/>
  <c r="M8" i="6"/>
  <c r="L9" i="6"/>
  <c r="M9" i="6"/>
  <c r="A2" i="5" a="1"/>
  <c r="A2" i="5" s="1"/>
  <c r="A2" i="4" a="1"/>
  <c r="A2" i="4" s="1"/>
  <c r="B2" i="5" a="1"/>
  <c r="B2" i="5" l="1"/>
  <c r="N27" i="1"/>
  <c r="N8" i="6"/>
  <c r="N9" i="6"/>
  <c r="D2" i="3" a="1"/>
  <c r="D2" i="3" s="1"/>
  <c r="E2" i="12" s="1" a="1"/>
  <c r="E2" i="12" s="1"/>
  <c r="L24" i="1"/>
  <c r="M24" i="1"/>
  <c r="L25" i="1"/>
  <c r="M25" i="1"/>
  <c r="L26" i="1"/>
  <c r="M26" i="1"/>
  <c r="G20" i="12" a="1"/>
  <c r="G20" i="12" s="1"/>
  <c r="G21" i="12" a="1"/>
  <c r="G21" i="12" s="1"/>
  <c r="G22" i="12" a="1"/>
  <c r="G22" i="12" s="1"/>
  <c r="G23" i="12" a="1"/>
  <c r="G23" i="12" s="1"/>
  <c r="G24" i="12" a="1"/>
  <c r="G24" i="12" s="1"/>
  <c r="G25" i="12" a="1"/>
  <c r="G25" i="12" s="1"/>
  <c r="G26" i="12" a="1"/>
  <c r="G26" i="12" s="1"/>
  <c r="G27" i="12" a="1"/>
  <c r="G27" i="12" s="1"/>
  <c r="G28" i="12" a="1"/>
  <c r="G28" i="12" s="1"/>
  <c r="G29" i="12" a="1"/>
  <c r="G29" i="12" s="1"/>
  <c r="G30" i="12" a="1"/>
  <c r="G30" i="12" s="1"/>
  <c r="L23" i="1"/>
  <c r="M23" i="1"/>
  <c r="C2" i="7" a="1"/>
  <c r="C2" i="7" s="1"/>
  <c r="B2" i="7" a="1"/>
  <c r="B2" i="7" s="1"/>
  <c r="A4" i="14"/>
  <c r="A21" i="14" s="1"/>
  <c r="A4" i="15"/>
  <c r="AH1" i="12"/>
  <c r="AG1" i="12"/>
  <c r="V1" i="12"/>
  <c r="U1" i="12"/>
  <c r="K1" i="12"/>
  <c r="J1" i="12"/>
  <c r="B16" i="5" a="1"/>
  <c r="B19" i="5" a="1"/>
  <c r="B10" i="5" a="1"/>
  <c r="B4" i="5" a="1"/>
  <c r="B18" i="5" a="1"/>
  <c r="B3" i="5" a="1"/>
  <c r="B9" i="5" a="1"/>
  <c r="B11" i="5" a="1"/>
  <c r="B15" i="5" a="1"/>
  <c r="B14" i="5" a="1"/>
  <c r="B5" i="5" a="1"/>
  <c r="B8" i="5" a="1"/>
  <c r="B17" i="5" a="1"/>
  <c r="B6" i="5" a="1"/>
  <c r="B7" i="5" a="1"/>
  <c r="B12" i="5" a="1"/>
  <c r="B13" i="5" a="1"/>
  <c r="M2" i="12" l="1" a="1"/>
  <c r="M2" i="12" s="1"/>
  <c r="L2" i="12" a="1"/>
  <c r="L2" i="12" s="1"/>
  <c r="K2" i="12" a="1"/>
  <c r="K2" i="12" s="1"/>
  <c r="J2" i="12" a="1"/>
  <c r="J2" i="12" s="1"/>
  <c r="G2" i="12" a="1"/>
  <c r="G2" i="12" s="1"/>
  <c r="I2" i="7" a="1"/>
  <c r="I2" i="7" s="1"/>
  <c r="B3" i="5"/>
  <c r="B11" i="5"/>
  <c r="B12" i="5"/>
  <c r="B14" i="5"/>
  <c r="B10" i="5"/>
  <c r="B4" i="5"/>
  <c r="B9" i="5"/>
  <c r="B5" i="5"/>
  <c r="B6" i="5"/>
  <c r="B19" i="5"/>
  <c r="B18" i="5"/>
  <c r="B7" i="5"/>
  <c r="B8" i="5"/>
  <c r="B15" i="5"/>
  <c r="B16" i="5"/>
  <c r="B13" i="5"/>
  <c r="B17" i="5"/>
  <c r="N26" i="1"/>
  <c r="N24" i="1"/>
  <c r="N25" i="1"/>
  <c r="N23" i="1"/>
  <c r="A5" i="15"/>
  <c r="A6" i="15" s="1"/>
  <c r="A38" i="14"/>
  <c r="B21" i="14"/>
  <c r="A22" i="14"/>
  <c r="A23" i="14" s="1"/>
  <c r="A24" i="14" s="1"/>
  <c r="A5" i="14"/>
  <c r="A6" i="14" s="1"/>
  <c r="A7" i="14" s="1"/>
  <c r="B4" i="14"/>
  <c r="L22" i="1"/>
  <c r="M22" i="1"/>
  <c r="N1" i="12"/>
  <c r="M1" i="12"/>
  <c r="L1" i="12"/>
  <c r="N2" i="12" l="1" a="1"/>
  <c r="N2" i="12" s="1"/>
  <c r="G18" i="12" a="1"/>
  <c r="G18" i="12" s="1"/>
  <c r="G19" i="12" a="1"/>
  <c r="G19" i="12" s="1"/>
  <c r="G16" i="12" a="1"/>
  <c r="G16" i="12" s="1"/>
  <c r="G17" i="12" a="1"/>
  <c r="G17" i="12" s="1"/>
  <c r="G3" i="12" a="1"/>
  <c r="G3" i="12" s="1"/>
  <c r="G5" i="12" a="1"/>
  <c r="G5" i="12" s="1"/>
  <c r="G4" i="12" a="1"/>
  <c r="G4" i="12" s="1"/>
  <c r="G11" i="12" a="1"/>
  <c r="G11" i="12" s="1"/>
  <c r="G10" i="12" a="1"/>
  <c r="G10" i="12" s="1"/>
  <c r="G6" i="12" a="1"/>
  <c r="G6" i="12" s="1"/>
  <c r="G12" i="12" a="1"/>
  <c r="G12" i="12" s="1"/>
  <c r="G13" i="12" a="1"/>
  <c r="G13" i="12" s="1"/>
  <c r="G9" i="12" a="1"/>
  <c r="G9" i="12" s="1"/>
  <c r="G7" i="12" a="1"/>
  <c r="G7" i="12" s="1"/>
  <c r="G14" i="12" a="1"/>
  <c r="G14" i="12" s="1"/>
  <c r="G8" i="12" a="1"/>
  <c r="G8" i="12" s="1"/>
  <c r="G15" i="12" a="1"/>
  <c r="G15" i="12" s="1"/>
  <c r="A25" i="14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B38" i="14"/>
  <c r="A55" i="14"/>
  <c r="A39" i="14"/>
  <c r="A40" i="14" s="1"/>
  <c r="A41" i="14" s="1"/>
  <c r="A7" i="15"/>
  <c r="N22" i="1"/>
  <c r="A42" i="14" l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36" i="14"/>
  <c r="B55" i="14"/>
  <c r="A72" i="14"/>
  <c r="A56" i="14"/>
  <c r="A57" i="14" s="1"/>
  <c r="A58" i="14" s="1"/>
  <c r="A18" i="14"/>
  <c r="A8" i="15"/>
  <c r="A53" i="14" l="1"/>
  <c r="A37" i="14"/>
  <c r="A19" i="14"/>
  <c r="A59" i="14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3" i="14"/>
  <c r="A74" i="14" s="1"/>
  <c r="A75" i="14" s="1"/>
  <c r="B72" i="14"/>
  <c r="A89" i="14"/>
  <c r="A9" i="15"/>
  <c r="P2" i="12" a="1"/>
  <c r="P2" i="12" s="1"/>
  <c r="A3" i="11"/>
  <c r="A4" i="11" s="1"/>
  <c r="M21" i="1"/>
  <c r="L21" i="1"/>
  <c r="F2" i="10" a="1"/>
  <c r="F2" i="10" s="1"/>
  <c r="C2" i="10"/>
  <c r="B2" i="10" a="1"/>
  <c r="B2" i="10" s="1"/>
  <c r="A3" i="10"/>
  <c r="L2" i="9" a="1"/>
  <c r="L2" i="9" s="1"/>
  <c r="G2" i="9"/>
  <c r="F2" i="9"/>
  <c r="E2" i="9"/>
  <c r="D2" i="9"/>
  <c r="C2" i="9"/>
  <c r="B2" i="9"/>
  <c r="A3" i="9"/>
  <c r="L3" i="9" s="1" a="1"/>
  <c r="L3" i="9" s="1"/>
  <c r="I2" i="9"/>
  <c r="N21" i="1" l="1"/>
  <c r="B3" i="10" a="1"/>
  <c r="B3" i="10" s="1"/>
  <c r="A90" i="14"/>
  <c r="A91" i="14" s="1"/>
  <c r="A92" i="14" s="1"/>
  <c r="B89" i="14"/>
  <c r="A106" i="14"/>
  <c r="A70" i="14"/>
  <c r="A20" i="14"/>
  <c r="A76" i="14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54" i="14"/>
  <c r="A10" i="15"/>
  <c r="Q2" i="12" a="1"/>
  <c r="Q2" i="12" s="1"/>
  <c r="AG2" i="12" a="1"/>
  <c r="AG2" i="12" s="1"/>
  <c r="X2" i="12" a="1"/>
  <c r="X2" i="12" s="1"/>
  <c r="Z2" i="12" a="1"/>
  <c r="Z2" i="12" s="1"/>
  <c r="U2" i="12" a="1"/>
  <c r="U2" i="12" s="1"/>
  <c r="V2" i="12" s="1" a="1"/>
  <c r="V2" i="12" s="1"/>
  <c r="R2" i="12" a="1"/>
  <c r="R2" i="12" s="1"/>
  <c r="AB2" i="12" a="1"/>
  <c r="AB2" i="12" s="1"/>
  <c r="T2" i="12" a="1"/>
  <c r="T2" i="12" s="1"/>
  <c r="W2" i="12" s="1" a="1"/>
  <c r="W2" i="12" s="1"/>
  <c r="S2" i="12" a="1"/>
  <c r="S2" i="12" s="1"/>
  <c r="AE2" i="12" s="1" a="1"/>
  <c r="AE2" i="12" s="1"/>
  <c r="AH2" i="12" a="1"/>
  <c r="AH2" i="12" s="1"/>
  <c r="B3" i="9"/>
  <c r="C3" i="9"/>
  <c r="D3" i="9"/>
  <c r="E3" i="9"/>
  <c r="F3" i="9"/>
  <c r="G3" i="9"/>
  <c r="F3" i="10" a="1"/>
  <c r="F3" i="10" s="1"/>
  <c r="A5" i="11"/>
  <c r="H2" i="9"/>
  <c r="J2" i="9" s="1"/>
  <c r="K2" i="9" s="1"/>
  <c r="M2" i="9" s="1"/>
  <c r="N2" i="9" s="1"/>
  <c r="C3" i="10"/>
  <c r="D2" i="10"/>
  <c r="E2" i="10" s="1"/>
  <c r="G2" i="10" s="1"/>
  <c r="H2" i="10" s="1"/>
  <c r="A4" i="10"/>
  <c r="A4" i="9"/>
  <c r="F3" i="8"/>
  <c r="G3" i="8" s="1"/>
  <c r="H3" i="8" s="1"/>
  <c r="I3" i="8" s="1"/>
  <c r="J3" i="8" s="1"/>
  <c r="K3" i="8" s="1"/>
  <c r="L3" i="8" s="1"/>
  <c r="M3" i="8" s="1"/>
  <c r="N3" i="8" s="1"/>
  <c r="F4" i="8"/>
  <c r="G4" i="8" s="1"/>
  <c r="H4" i="8" s="1"/>
  <c r="I4" i="8" s="1"/>
  <c r="J4" i="8" s="1"/>
  <c r="K4" i="8" s="1"/>
  <c r="L4" i="8" s="1"/>
  <c r="M4" i="8" s="1"/>
  <c r="N4" i="8" s="1"/>
  <c r="F5" i="8"/>
  <c r="G5" i="8" s="1"/>
  <c r="H5" i="8" s="1"/>
  <c r="I5" i="8" s="1"/>
  <c r="J5" i="8" s="1"/>
  <c r="K5" i="8" s="1"/>
  <c r="L5" i="8" s="1"/>
  <c r="M5" i="8" s="1"/>
  <c r="N5" i="8" s="1"/>
  <c r="F6" i="8"/>
  <c r="G6" i="8" s="1"/>
  <c r="H6" i="8" s="1"/>
  <c r="I6" i="8" s="1"/>
  <c r="J6" i="8" s="1"/>
  <c r="K6" i="8" s="1"/>
  <c r="L6" i="8" s="1"/>
  <c r="M6" i="8" s="1"/>
  <c r="N6" i="8" s="1"/>
  <c r="F7" i="8"/>
  <c r="G7" i="8" s="1"/>
  <c r="H7" i="8" s="1"/>
  <c r="I7" i="8" s="1"/>
  <c r="J7" i="8" s="1"/>
  <c r="K7" i="8" s="1"/>
  <c r="L7" i="8" s="1"/>
  <c r="M7" i="8" s="1"/>
  <c r="N7" i="8" s="1"/>
  <c r="F8" i="8"/>
  <c r="G8" i="8" s="1"/>
  <c r="H8" i="8" s="1"/>
  <c r="I8" i="8" s="1"/>
  <c r="J8" i="8" s="1"/>
  <c r="K8" i="8" s="1"/>
  <c r="L8" i="8" s="1"/>
  <c r="M8" i="8" s="1"/>
  <c r="N8" i="8" s="1"/>
  <c r="F9" i="8"/>
  <c r="G9" i="8" s="1"/>
  <c r="H9" i="8" s="1"/>
  <c r="I9" i="8" s="1"/>
  <c r="J9" i="8" s="1"/>
  <c r="K9" i="8" s="1"/>
  <c r="L9" i="8" s="1"/>
  <c r="M9" i="8" s="1"/>
  <c r="N9" i="8" s="1"/>
  <c r="F10" i="8"/>
  <c r="G10" i="8" s="1"/>
  <c r="H10" i="8" s="1"/>
  <c r="I10" i="8" s="1"/>
  <c r="J10" i="8" s="1"/>
  <c r="K10" i="8" s="1"/>
  <c r="L10" i="8" s="1"/>
  <c r="M10" i="8" s="1"/>
  <c r="N10" i="8" s="1"/>
  <c r="F11" i="8"/>
  <c r="G11" i="8" s="1"/>
  <c r="H11" i="8" s="1"/>
  <c r="I11" i="8" s="1"/>
  <c r="J11" i="8" s="1"/>
  <c r="K11" i="8" s="1"/>
  <c r="L11" i="8" s="1"/>
  <c r="M11" i="8" s="1"/>
  <c r="N11" i="8" s="1"/>
  <c r="F12" i="8"/>
  <c r="G12" i="8" s="1"/>
  <c r="H12" i="8" s="1"/>
  <c r="I12" i="8" s="1"/>
  <c r="J12" i="8" s="1"/>
  <c r="K12" i="8" s="1"/>
  <c r="L12" i="8" s="1"/>
  <c r="M12" i="8" s="1"/>
  <c r="N12" i="8" s="1"/>
  <c r="F13" i="8"/>
  <c r="G13" i="8" s="1"/>
  <c r="H13" i="8" s="1"/>
  <c r="I13" i="8" s="1"/>
  <c r="J13" i="8" s="1"/>
  <c r="K13" i="8" s="1"/>
  <c r="L13" i="8" s="1"/>
  <c r="M13" i="8" s="1"/>
  <c r="N13" i="8" s="1"/>
  <c r="F14" i="8"/>
  <c r="G14" i="8" s="1"/>
  <c r="H14" i="8" s="1"/>
  <c r="I14" i="8" s="1"/>
  <c r="J14" i="8" s="1"/>
  <c r="K14" i="8" s="1"/>
  <c r="L14" i="8" s="1"/>
  <c r="M14" i="8" s="1"/>
  <c r="N14" i="8" s="1"/>
  <c r="F15" i="8"/>
  <c r="G15" i="8" s="1"/>
  <c r="H15" i="8" s="1"/>
  <c r="I15" i="8" s="1"/>
  <c r="J15" i="8" s="1"/>
  <c r="K15" i="8" s="1"/>
  <c r="L15" i="8" s="1"/>
  <c r="M15" i="8" s="1"/>
  <c r="N15" i="8" s="1"/>
  <c r="F16" i="8"/>
  <c r="G16" i="8" s="1"/>
  <c r="H16" i="8" s="1"/>
  <c r="I16" i="8" s="1"/>
  <c r="J16" i="8" s="1"/>
  <c r="K16" i="8" s="1"/>
  <c r="L16" i="8" s="1"/>
  <c r="M16" i="8" s="1"/>
  <c r="N16" i="8" s="1"/>
  <c r="F17" i="8"/>
  <c r="G17" i="8" s="1"/>
  <c r="H17" i="8" s="1"/>
  <c r="I17" i="8" s="1"/>
  <c r="J17" i="8" s="1"/>
  <c r="K17" i="8" s="1"/>
  <c r="L17" i="8" s="1"/>
  <c r="M17" i="8" s="1"/>
  <c r="N17" i="8" s="1"/>
  <c r="F18" i="8"/>
  <c r="G18" i="8" s="1"/>
  <c r="H18" i="8" s="1"/>
  <c r="I18" i="8" s="1"/>
  <c r="J18" i="8" s="1"/>
  <c r="K18" i="8" s="1"/>
  <c r="L18" i="8" s="1"/>
  <c r="M18" i="8" s="1"/>
  <c r="N18" i="8" s="1"/>
  <c r="F19" i="8"/>
  <c r="G19" i="8" s="1"/>
  <c r="H19" i="8" s="1"/>
  <c r="I19" i="8" s="1"/>
  <c r="J19" i="8" s="1"/>
  <c r="K19" i="8" s="1"/>
  <c r="L19" i="8" s="1"/>
  <c r="M19" i="8" s="1"/>
  <c r="N19" i="8" s="1"/>
  <c r="F20" i="8"/>
  <c r="G20" i="8" s="1"/>
  <c r="H20" i="8" s="1"/>
  <c r="I20" i="8" s="1"/>
  <c r="J20" i="8" s="1"/>
  <c r="K20" i="8" s="1"/>
  <c r="L20" i="8" s="1"/>
  <c r="M20" i="8" s="1"/>
  <c r="N20" i="8" s="1"/>
  <c r="F21" i="8"/>
  <c r="G21" i="8" s="1"/>
  <c r="H21" i="8" s="1"/>
  <c r="I21" i="8" s="1"/>
  <c r="J21" i="8" s="1"/>
  <c r="K21" i="8" s="1"/>
  <c r="L21" i="8" s="1"/>
  <c r="M21" i="8" s="1"/>
  <c r="N21" i="8" s="1"/>
  <c r="F22" i="8"/>
  <c r="G22" i="8" s="1"/>
  <c r="H22" i="8" s="1"/>
  <c r="I22" i="8" s="1"/>
  <c r="J22" i="8" s="1"/>
  <c r="K22" i="8" s="1"/>
  <c r="L22" i="8" s="1"/>
  <c r="M22" i="8" s="1"/>
  <c r="N22" i="8" s="1"/>
  <c r="F23" i="8"/>
  <c r="G23" i="8" s="1"/>
  <c r="H23" i="8" s="1"/>
  <c r="I23" i="8" s="1"/>
  <c r="J23" i="8" s="1"/>
  <c r="K23" i="8" s="1"/>
  <c r="L23" i="8" s="1"/>
  <c r="M23" i="8" s="1"/>
  <c r="N23" i="8" s="1"/>
  <c r="F24" i="8"/>
  <c r="G24" i="8" s="1"/>
  <c r="H24" i="8" s="1"/>
  <c r="I24" i="8" s="1"/>
  <c r="J24" i="8" s="1"/>
  <c r="K24" i="8" s="1"/>
  <c r="L24" i="8" s="1"/>
  <c r="M24" i="8" s="1"/>
  <c r="N24" i="8" s="1"/>
  <c r="F25" i="8"/>
  <c r="G25" i="8" s="1"/>
  <c r="H25" i="8" s="1"/>
  <c r="I25" i="8" s="1"/>
  <c r="J25" i="8" s="1"/>
  <c r="K25" i="8" s="1"/>
  <c r="L25" i="8" s="1"/>
  <c r="M25" i="8" s="1"/>
  <c r="N25" i="8" s="1"/>
  <c r="F26" i="8"/>
  <c r="G26" i="8" s="1"/>
  <c r="H26" i="8" s="1"/>
  <c r="I26" i="8" s="1"/>
  <c r="J26" i="8" s="1"/>
  <c r="K26" i="8" s="1"/>
  <c r="L26" i="8" s="1"/>
  <c r="M26" i="8" s="1"/>
  <c r="N26" i="8" s="1"/>
  <c r="F27" i="8"/>
  <c r="G27" i="8" s="1"/>
  <c r="H27" i="8" s="1"/>
  <c r="I27" i="8" s="1"/>
  <c r="J27" i="8" s="1"/>
  <c r="K27" i="8" s="1"/>
  <c r="L27" i="8" s="1"/>
  <c r="M27" i="8" s="1"/>
  <c r="N27" i="8" s="1"/>
  <c r="F28" i="8"/>
  <c r="G28" i="8" s="1"/>
  <c r="H28" i="8" s="1"/>
  <c r="I28" i="8" s="1"/>
  <c r="J28" i="8" s="1"/>
  <c r="K28" i="8" s="1"/>
  <c r="L28" i="8" s="1"/>
  <c r="M28" i="8" s="1"/>
  <c r="N28" i="8" s="1"/>
  <c r="F29" i="8"/>
  <c r="G29" i="8" s="1"/>
  <c r="H29" i="8" s="1"/>
  <c r="I29" i="8" s="1"/>
  <c r="J29" i="8" s="1"/>
  <c r="K29" i="8" s="1"/>
  <c r="L29" i="8" s="1"/>
  <c r="M29" i="8" s="1"/>
  <c r="N29" i="8" s="1"/>
  <c r="F30" i="8"/>
  <c r="G30" i="8" s="1"/>
  <c r="H30" i="8" s="1"/>
  <c r="I30" i="8" s="1"/>
  <c r="J30" i="8" s="1"/>
  <c r="K30" i="8" s="1"/>
  <c r="L30" i="8" s="1"/>
  <c r="M30" i="8" s="1"/>
  <c r="N30" i="8" s="1"/>
  <c r="F31" i="8"/>
  <c r="G31" i="8" s="1"/>
  <c r="H31" i="8" s="1"/>
  <c r="I31" i="8" s="1"/>
  <c r="J31" i="8" s="1"/>
  <c r="K31" i="8" s="1"/>
  <c r="L31" i="8" s="1"/>
  <c r="M31" i="8" s="1"/>
  <c r="N31" i="8" s="1"/>
  <c r="F32" i="8"/>
  <c r="G32" i="8" s="1"/>
  <c r="H32" i="8" s="1"/>
  <c r="I32" i="8" s="1"/>
  <c r="J32" i="8" s="1"/>
  <c r="K32" i="8" s="1"/>
  <c r="L32" i="8" s="1"/>
  <c r="M32" i="8" s="1"/>
  <c r="N32" i="8" s="1"/>
  <c r="F33" i="8"/>
  <c r="G33" i="8" s="1"/>
  <c r="H33" i="8" s="1"/>
  <c r="I33" i="8" s="1"/>
  <c r="J33" i="8" s="1"/>
  <c r="K33" i="8" s="1"/>
  <c r="L33" i="8" s="1"/>
  <c r="M33" i="8" s="1"/>
  <c r="N33" i="8" s="1"/>
  <c r="F34" i="8"/>
  <c r="G34" i="8" s="1"/>
  <c r="H34" i="8" s="1"/>
  <c r="I34" i="8" s="1"/>
  <c r="J34" i="8" s="1"/>
  <c r="K34" i="8" s="1"/>
  <c r="L34" i="8" s="1"/>
  <c r="M34" i="8" s="1"/>
  <c r="N34" i="8" s="1"/>
  <c r="F35" i="8"/>
  <c r="G35" i="8" s="1"/>
  <c r="H35" i="8" s="1"/>
  <c r="I35" i="8" s="1"/>
  <c r="J35" i="8" s="1"/>
  <c r="K35" i="8" s="1"/>
  <c r="L35" i="8" s="1"/>
  <c r="M35" i="8" s="1"/>
  <c r="N35" i="8" s="1"/>
  <c r="F36" i="8"/>
  <c r="G36" i="8" s="1"/>
  <c r="H36" i="8" s="1"/>
  <c r="I36" i="8" s="1"/>
  <c r="J36" i="8" s="1"/>
  <c r="K36" i="8" s="1"/>
  <c r="L36" i="8" s="1"/>
  <c r="M36" i="8" s="1"/>
  <c r="N36" i="8" s="1"/>
  <c r="F37" i="8"/>
  <c r="G37" i="8" s="1"/>
  <c r="H37" i="8" s="1"/>
  <c r="I37" i="8" s="1"/>
  <c r="J37" i="8" s="1"/>
  <c r="K37" i="8" s="1"/>
  <c r="L37" i="8" s="1"/>
  <c r="M37" i="8" s="1"/>
  <c r="N37" i="8" s="1"/>
  <c r="F38" i="8"/>
  <c r="G38" i="8" s="1"/>
  <c r="H38" i="8" s="1"/>
  <c r="I38" i="8" s="1"/>
  <c r="J38" i="8" s="1"/>
  <c r="K38" i="8" s="1"/>
  <c r="L38" i="8" s="1"/>
  <c r="M38" i="8" s="1"/>
  <c r="N38" i="8" s="1"/>
  <c r="F39" i="8"/>
  <c r="G39" i="8" s="1"/>
  <c r="H39" i="8" s="1"/>
  <c r="I39" i="8" s="1"/>
  <c r="J39" i="8" s="1"/>
  <c r="K39" i="8" s="1"/>
  <c r="L39" i="8" s="1"/>
  <c r="M39" i="8" s="1"/>
  <c r="N39" i="8" s="1"/>
  <c r="F40" i="8"/>
  <c r="G40" i="8" s="1"/>
  <c r="H40" i="8" s="1"/>
  <c r="I40" i="8" s="1"/>
  <c r="J40" i="8" s="1"/>
  <c r="K40" i="8" s="1"/>
  <c r="L40" i="8" s="1"/>
  <c r="M40" i="8" s="1"/>
  <c r="N40" i="8" s="1"/>
  <c r="F41" i="8"/>
  <c r="G41" i="8" s="1"/>
  <c r="H41" i="8" s="1"/>
  <c r="I41" i="8" s="1"/>
  <c r="J41" i="8" s="1"/>
  <c r="K41" i="8" s="1"/>
  <c r="L41" i="8" s="1"/>
  <c r="M41" i="8" s="1"/>
  <c r="N41" i="8" s="1"/>
  <c r="F42" i="8"/>
  <c r="G42" i="8" s="1"/>
  <c r="H42" i="8" s="1"/>
  <c r="I42" i="8" s="1"/>
  <c r="J42" i="8" s="1"/>
  <c r="K42" i="8" s="1"/>
  <c r="L42" i="8" s="1"/>
  <c r="M42" i="8" s="1"/>
  <c r="N42" i="8" s="1"/>
  <c r="F43" i="8"/>
  <c r="G43" i="8" s="1"/>
  <c r="H43" i="8" s="1"/>
  <c r="I43" i="8" s="1"/>
  <c r="J43" i="8" s="1"/>
  <c r="K43" i="8" s="1"/>
  <c r="L43" i="8" s="1"/>
  <c r="M43" i="8" s="1"/>
  <c r="N43" i="8" s="1"/>
  <c r="F44" i="8"/>
  <c r="G44" i="8" s="1"/>
  <c r="H44" i="8" s="1"/>
  <c r="I44" i="8" s="1"/>
  <c r="J44" i="8" s="1"/>
  <c r="K44" i="8" s="1"/>
  <c r="L44" i="8" s="1"/>
  <c r="M44" i="8" s="1"/>
  <c r="N44" i="8" s="1"/>
  <c r="F45" i="8"/>
  <c r="G45" i="8" s="1"/>
  <c r="H45" i="8" s="1"/>
  <c r="I45" i="8" s="1"/>
  <c r="J45" i="8" s="1"/>
  <c r="K45" i="8" s="1"/>
  <c r="L45" i="8" s="1"/>
  <c r="M45" i="8" s="1"/>
  <c r="N45" i="8" s="1"/>
  <c r="F46" i="8"/>
  <c r="G46" i="8" s="1"/>
  <c r="H46" i="8" s="1"/>
  <c r="I46" i="8" s="1"/>
  <c r="J46" i="8" s="1"/>
  <c r="K46" i="8" s="1"/>
  <c r="L46" i="8" s="1"/>
  <c r="M46" i="8" s="1"/>
  <c r="N46" i="8" s="1"/>
  <c r="F47" i="8"/>
  <c r="G47" i="8" s="1"/>
  <c r="H47" i="8" s="1"/>
  <c r="I47" i="8" s="1"/>
  <c r="J47" i="8" s="1"/>
  <c r="K47" i="8" s="1"/>
  <c r="L47" i="8" s="1"/>
  <c r="M47" i="8" s="1"/>
  <c r="N47" i="8" s="1"/>
  <c r="F48" i="8"/>
  <c r="G48" i="8" s="1"/>
  <c r="H48" i="8" s="1"/>
  <c r="I48" i="8" s="1"/>
  <c r="J48" i="8" s="1"/>
  <c r="K48" i="8" s="1"/>
  <c r="L48" i="8" s="1"/>
  <c r="M48" i="8" s="1"/>
  <c r="N48" i="8" s="1"/>
  <c r="F49" i="8"/>
  <c r="G49" i="8" s="1"/>
  <c r="H49" i="8" s="1"/>
  <c r="I49" i="8" s="1"/>
  <c r="J49" i="8" s="1"/>
  <c r="K49" i="8" s="1"/>
  <c r="L49" i="8" s="1"/>
  <c r="M49" i="8" s="1"/>
  <c r="N49" i="8" s="1"/>
  <c r="F50" i="8"/>
  <c r="G50" i="8" s="1"/>
  <c r="H50" i="8" s="1"/>
  <c r="I50" i="8" s="1"/>
  <c r="J50" i="8" s="1"/>
  <c r="K50" i="8" s="1"/>
  <c r="L50" i="8" s="1"/>
  <c r="M50" i="8" s="1"/>
  <c r="N50" i="8" s="1"/>
  <c r="F51" i="8"/>
  <c r="G51" i="8" s="1"/>
  <c r="H51" i="8" s="1"/>
  <c r="I51" i="8" s="1"/>
  <c r="J51" i="8" s="1"/>
  <c r="K51" i="8" s="1"/>
  <c r="L51" i="8" s="1"/>
  <c r="M51" i="8" s="1"/>
  <c r="N51" i="8" s="1"/>
  <c r="F52" i="8"/>
  <c r="G52" i="8" s="1"/>
  <c r="H52" i="8" s="1"/>
  <c r="I52" i="8" s="1"/>
  <c r="J52" i="8" s="1"/>
  <c r="K52" i="8" s="1"/>
  <c r="L52" i="8" s="1"/>
  <c r="M52" i="8" s="1"/>
  <c r="N52" i="8" s="1"/>
  <c r="F53" i="8"/>
  <c r="G53" i="8" s="1"/>
  <c r="H53" i="8" s="1"/>
  <c r="I53" i="8" s="1"/>
  <c r="J53" i="8" s="1"/>
  <c r="K53" i="8" s="1"/>
  <c r="L53" i="8" s="1"/>
  <c r="M53" i="8" s="1"/>
  <c r="N53" i="8" s="1"/>
  <c r="F54" i="8"/>
  <c r="G54" i="8" s="1"/>
  <c r="H54" i="8" s="1"/>
  <c r="I54" i="8" s="1"/>
  <c r="J54" i="8" s="1"/>
  <c r="K54" i="8" s="1"/>
  <c r="L54" i="8" s="1"/>
  <c r="M54" i="8" s="1"/>
  <c r="N54" i="8" s="1"/>
  <c r="F55" i="8"/>
  <c r="G55" i="8" s="1"/>
  <c r="H55" i="8" s="1"/>
  <c r="I55" i="8" s="1"/>
  <c r="J55" i="8" s="1"/>
  <c r="K55" i="8" s="1"/>
  <c r="L55" i="8" s="1"/>
  <c r="M55" i="8" s="1"/>
  <c r="N55" i="8" s="1"/>
  <c r="F56" i="8"/>
  <c r="G56" i="8" s="1"/>
  <c r="H56" i="8" s="1"/>
  <c r="I56" i="8" s="1"/>
  <c r="J56" i="8" s="1"/>
  <c r="K56" i="8" s="1"/>
  <c r="L56" i="8" s="1"/>
  <c r="M56" i="8" s="1"/>
  <c r="N56" i="8" s="1"/>
  <c r="F57" i="8"/>
  <c r="G57" i="8" s="1"/>
  <c r="H57" i="8" s="1"/>
  <c r="I57" i="8" s="1"/>
  <c r="J57" i="8" s="1"/>
  <c r="K57" i="8" s="1"/>
  <c r="L57" i="8" s="1"/>
  <c r="M57" i="8" s="1"/>
  <c r="N57" i="8" s="1"/>
  <c r="F58" i="8"/>
  <c r="G58" i="8" s="1"/>
  <c r="H58" i="8" s="1"/>
  <c r="I58" i="8" s="1"/>
  <c r="J58" i="8" s="1"/>
  <c r="K58" i="8" s="1"/>
  <c r="L58" i="8" s="1"/>
  <c r="M58" i="8" s="1"/>
  <c r="N58" i="8" s="1"/>
  <c r="F59" i="8"/>
  <c r="G59" i="8" s="1"/>
  <c r="H59" i="8" s="1"/>
  <c r="I59" i="8" s="1"/>
  <c r="J59" i="8" s="1"/>
  <c r="K59" i="8" s="1"/>
  <c r="L59" i="8" s="1"/>
  <c r="M59" i="8" s="1"/>
  <c r="N59" i="8" s="1"/>
  <c r="F60" i="8"/>
  <c r="G60" i="8" s="1"/>
  <c r="H60" i="8" s="1"/>
  <c r="I60" i="8" s="1"/>
  <c r="J60" i="8" s="1"/>
  <c r="K60" i="8" s="1"/>
  <c r="L60" i="8" s="1"/>
  <c r="M60" i="8" s="1"/>
  <c r="N60" i="8" s="1"/>
  <c r="F61" i="8"/>
  <c r="G61" i="8" s="1"/>
  <c r="H61" i="8" s="1"/>
  <c r="I61" i="8" s="1"/>
  <c r="J61" i="8" s="1"/>
  <c r="K61" i="8" s="1"/>
  <c r="L61" i="8" s="1"/>
  <c r="M61" i="8" s="1"/>
  <c r="N61" i="8" s="1"/>
  <c r="F62" i="8"/>
  <c r="G62" i="8" s="1"/>
  <c r="H62" i="8" s="1"/>
  <c r="I62" i="8" s="1"/>
  <c r="J62" i="8" s="1"/>
  <c r="K62" i="8" s="1"/>
  <c r="L62" i="8" s="1"/>
  <c r="M62" i="8" s="1"/>
  <c r="N62" i="8" s="1"/>
  <c r="F63" i="8"/>
  <c r="G63" i="8" s="1"/>
  <c r="H63" i="8" s="1"/>
  <c r="I63" i="8" s="1"/>
  <c r="J63" i="8" s="1"/>
  <c r="K63" i="8" s="1"/>
  <c r="L63" i="8" s="1"/>
  <c r="M63" i="8" s="1"/>
  <c r="N63" i="8" s="1"/>
  <c r="F64" i="8"/>
  <c r="G64" i="8" s="1"/>
  <c r="H64" i="8" s="1"/>
  <c r="I64" i="8" s="1"/>
  <c r="J64" i="8" s="1"/>
  <c r="K64" i="8" s="1"/>
  <c r="L64" i="8" s="1"/>
  <c r="M64" i="8" s="1"/>
  <c r="N64" i="8" s="1"/>
  <c r="F65" i="8"/>
  <c r="G65" i="8" s="1"/>
  <c r="H65" i="8" s="1"/>
  <c r="I65" i="8" s="1"/>
  <c r="J65" i="8" s="1"/>
  <c r="K65" i="8" s="1"/>
  <c r="L65" i="8" s="1"/>
  <c r="M65" i="8" s="1"/>
  <c r="N65" i="8" s="1"/>
  <c r="F66" i="8"/>
  <c r="G66" i="8" s="1"/>
  <c r="H66" i="8" s="1"/>
  <c r="I66" i="8" s="1"/>
  <c r="J66" i="8" s="1"/>
  <c r="K66" i="8" s="1"/>
  <c r="L66" i="8" s="1"/>
  <c r="M66" i="8" s="1"/>
  <c r="N66" i="8" s="1"/>
  <c r="F67" i="8"/>
  <c r="G67" i="8" s="1"/>
  <c r="H67" i="8" s="1"/>
  <c r="I67" i="8" s="1"/>
  <c r="J67" i="8" s="1"/>
  <c r="K67" i="8" s="1"/>
  <c r="L67" i="8" s="1"/>
  <c r="M67" i="8" s="1"/>
  <c r="N67" i="8" s="1"/>
  <c r="F68" i="8"/>
  <c r="G68" i="8" s="1"/>
  <c r="H68" i="8" s="1"/>
  <c r="I68" i="8" s="1"/>
  <c r="J68" i="8" s="1"/>
  <c r="K68" i="8" s="1"/>
  <c r="L68" i="8" s="1"/>
  <c r="M68" i="8" s="1"/>
  <c r="N68" i="8" s="1"/>
  <c r="F69" i="8"/>
  <c r="G69" i="8" s="1"/>
  <c r="H69" i="8" s="1"/>
  <c r="I69" i="8" s="1"/>
  <c r="J69" i="8" s="1"/>
  <c r="K69" i="8" s="1"/>
  <c r="L69" i="8" s="1"/>
  <c r="M69" i="8" s="1"/>
  <c r="N69" i="8" s="1"/>
  <c r="F70" i="8"/>
  <c r="G70" i="8" s="1"/>
  <c r="H70" i="8" s="1"/>
  <c r="I70" i="8" s="1"/>
  <c r="J70" i="8" s="1"/>
  <c r="K70" i="8" s="1"/>
  <c r="L70" i="8" s="1"/>
  <c r="M70" i="8" s="1"/>
  <c r="N70" i="8" s="1"/>
  <c r="F71" i="8"/>
  <c r="G71" i="8" s="1"/>
  <c r="H71" i="8" s="1"/>
  <c r="I71" i="8" s="1"/>
  <c r="J71" i="8" s="1"/>
  <c r="K71" i="8" s="1"/>
  <c r="L71" i="8" s="1"/>
  <c r="M71" i="8" s="1"/>
  <c r="N71" i="8" s="1"/>
  <c r="F72" i="8"/>
  <c r="G72" i="8" s="1"/>
  <c r="H72" i="8" s="1"/>
  <c r="I72" i="8" s="1"/>
  <c r="J72" i="8" s="1"/>
  <c r="K72" i="8" s="1"/>
  <c r="L72" i="8" s="1"/>
  <c r="M72" i="8" s="1"/>
  <c r="N72" i="8" s="1"/>
  <c r="F73" i="8"/>
  <c r="G73" i="8" s="1"/>
  <c r="H73" i="8" s="1"/>
  <c r="I73" i="8" s="1"/>
  <c r="J73" i="8" s="1"/>
  <c r="K73" i="8" s="1"/>
  <c r="L73" i="8" s="1"/>
  <c r="M73" i="8" s="1"/>
  <c r="N73" i="8" s="1"/>
  <c r="F74" i="8"/>
  <c r="G74" i="8" s="1"/>
  <c r="H74" i="8" s="1"/>
  <c r="I74" i="8" s="1"/>
  <c r="J74" i="8" s="1"/>
  <c r="K74" i="8" s="1"/>
  <c r="L74" i="8" s="1"/>
  <c r="M74" i="8" s="1"/>
  <c r="N74" i="8" s="1"/>
  <c r="F75" i="8"/>
  <c r="G75" i="8" s="1"/>
  <c r="H75" i="8" s="1"/>
  <c r="I75" i="8" s="1"/>
  <c r="J75" i="8" s="1"/>
  <c r="K75" i="8" s="1"/>
  <c r="L75" i="8" s="1"/>
  <c r="M75" i="8" s="1"/>
  <c r="N75" i="8" s="1"/>
  <c r="F76" i="8"/>
  <c r="G76" i="8" s="1"/>
  <c r="H76" i="8" s="1"/>
  <c r="I76" i="8" s="1"/>
  <c r="J76" i="8" s="1"/>
  <c r="K76" i="8" s="1"/>
  <c r="L76" i="8" s="1"/>
  <c r="M76" i="8" s="1"/>
  <c r="N76" i="8" s="1"/>
  <c r="F77" i="8"/>
  <c r="G77" i="8" s="1"/>
  <c r="H77" i="8" s="1"/>
  <c r="I77" i="8" s="1"/>
  <c r="J77" i="8" s="1"/>
  <c r="K77" i="8" s="1"/>
  <c r="L77" i="8" s="1"/>
  <c r="M77" i="8" s="1"/>
  <c r="N77" i="8" s="1"/>
  <c r="F78" i="8"/>
  <c r="G78" i="8" s="1"/>
  <c r="H78" i="8" s="1"/>
  <c r="I78" i="8" s="1"/>
  <c r="J78" i="8" s="1"/>
  <c r="K78" i="8" s="1"/>
  <c r="L78" i="8" s="1"/>
  <c r="M78" i="8" s="1"/>
  <c r="N78" i="8" s="1"/>
  <c r="F79" i="8"/>
  <c r="G79" i="8" s="1"/>
  <c r="H79" i="8" s="1"/>
  <c r="I79" i="8" s="1"/>
  <c r="J79" i="8" s="1"/>
  <c r="K79" i="8" s="1"/>
  <c r="L79" i="8" s="1"/>
  <c r="M79" i="8" s="1"/>
  <c r="N79" i="8" s="1"/>
  <c r="F80" i="8"/>
  <c r="G80" i="8" s="1"/>
  <c r="H80" i="8" s="1"/>
  <c r="I80" i="8" s="1"/>
  <c r="J80" i="8" s="1"/>
  <c r="K80" i="8" s="1"/>
  <c r="L80" i="8" s="1"/>
  <c r="M80" i="8" s="1"/>
  <c r="N80" i="8" s="1"/>
  <c r="F81" i="8"/>
  <c r="G81" i="8" s="1"/>
  <c r="H81" i="8" s="1"/>
  <c r="I81" i="8" s="1"/>
  <c r="J81" i="8" s="1"/>
  <c r="K81" i="8" s="1"/>
  <c r="L81" i="8" s="1"/>
  <c r="M81" i="8" s="1"/>
  <c r="N81" i="8" s="1"/>
  <c r="F82" i="8"/>
  <c r="G82" i="8" s="1"/>
  <c r="H82" i="8" s="1"/>
  <c r="I82" i="8" s="1"/>
  <c r="J82" i="8" s="1"/>
  <c r="K82" i="8" s="1"/>
  <c r="L82" i="8" s="1"/>
  <c r="M82" i="8" s="1"/>
  <c r="N82" i="8" s="1"/>
  <c r="F83" i="8"/>
  <c r="G83" i="8" s="1"/>
  <c r="H83" i="8" s="1"/>
  <c r="I83" i="8" s="1"/>
  <c r="J83" i="8" s="1"/>
  <c r="K83" i="8" s="1"/>
  <c r="L83" i="8" s="1"/>
  <c r="M83" i="8" s="1"/>
  <c r="N83" i="8" s="1"/>
  <c r="F84" i="8"/>
  <c r="G84" i="8" s="1"/>
  <c r="H84" i="8" s="1"/>
  <c r="I84" i="8" s="1"/>
  <c r="J84" i="8" s="1"/>
  <c r="K84" i="8" s="1"/>
  <c r="L84" i="8" s="1"/>
  <c r="M84" i="8" s="1"/>
  <c r="N84" i="8" s="1"/>
  <c r="F85" i="8"/>
  <c r="G85" i="8" s="1"/>
  <c r="H85" i="8" s="1"/>
  <c r="I85" i="8" s="1"/>
  <c r="J85" i="8" s="1"/>
  <c r="K85" i="8" s="1"/>
  <c r="L85" i="8" s="1"/>
  <c r="M85" i="8" s="1"/>
  <c r="N85" i="8" s="1"/>
  <c r="F86" i="8"/>
  <c r="G86" i="8" s="1"/>
  <c r="H86" i="8" s="1"/>
  <c r="I86" i="8" s="1"/>
  <c r="J86" i="8" s="1"/>
  <c r="K86" i="8" s="1"/>
  <c r="L86" i="8" s="1"/>
  <c r="M86" i="8" s="1"/>
  <c r="N86" i="8" s="1"/>
  <c r="F87" i="8"/>
  <c r="G87" i="8" s="1"/>
  <c r="H87" i="8" s="1"/>
  <c r="I87" i="8" s="1"/>
  <c r="J87" i="8" s="1"/>
  <c r="K87" i="8" s="1"/>
  <c r="L87" i="8" s="1"/>
  <c r="M87" i="8" s="1"/>
  <c r="N87" i="8" s="1"/>
  <c r="F88" i="8"/>
  <c r="G88" i="8" s="1"/>
  <c r="H88" i="8" s="1"/>
  <c r="I88" i="8" s="1"/>
  <c r="J88" i="8" s="1"/>
  <c r="K88" i="8" s="1"/>
  <c r="L88" i="8" s="1"/>
  <c r="M88" i="8" s="1"/>
  <c r="N88" i="8" s="1"/>
  <c r="F89" i="8"/>
  <c r="G89" i="8" s="1"/>
  <c r="H89" i="8" s="1"/>
  <c r="I89" i="8" s="1"/>
  <c r="J89" i="8" s="1"/>
  <c r="K89" i="8" s="1"/>
  <c r="L89" i="8" s="1"/>
  <c r="M89" i="8" s="1"/>
  <c r="N89" i="8" s="1"/>
  <c r="F90" i="8"/>
  <c r="G90" i="8" s="1"/>
  <c r="H90" i="8" s="1"/>
  <c r="I90" i="8" s="1"/>
  <c r="J90" i="8" s="1"/>
  <c r="K90" i="8" s="1"/>
  <c r="L90" i="8" s="1"/>
  <c r="M90" i="8" s="1"/>
  <c r="N90" i="8" s="1"/>
  <c r="F91" i="8"/>
  <c r="G91" i="8" s="1"/>
  <c r="H91" i="8" s="1"/>
  <c r="I91" i="8" s="1"/>
  <c r="J91" i="8" s="1"/>
  <c r="K91" i="8" s="1"/>
  <c r="L91" i="8" s="1"/>
  <c r="M91" i="8" s="1"/>
  <c r="N91" i="8" s="1"/>
  <c r="F92" i="8"/>
  <c r="G92" i="8" s="1"/>
  <c r="H92" i="8" s="1"/>
  <c r="I92" i="8" s="1"/>
  <c r="J92" i="8" s="1"/>
  <c r="K92" i="8" s="1"/>
  <c r="L92" i="8" s="1"/>
  <c r="M92" i="8" s="1"/>
  <c r="N92" i="8" s="1"/>
  <c r="F93" i="8"/>
  <c r="G93" i="8" s="1"/>
  <c r="H93" i="8" s="1"/>
  <c r="I93" i="8" s="1"/>
  <c r="J93" i="8" s="1"/>
  <c r="K93" i="8" s="1"/>
  <c r="L93" i="8" s="1"/>
  <c r="M93" i="8" s="1"/>
  <c r="N93" i="8" s="1"/>
  <c r="F94" i="8"/>
  <c r="G94" i="8" s="1"/>
  <c r="H94" i="8" s="1"/>
  <c r="I94" i="8" s="1"/>
  <c r="J94" i="8" s="1"/>
  <c r="K94" i="8" s="1"/>
  <c r="L94" i="8" s="1"/>
  <c r="M94" i="8" s="1"/>
  <c r="N94" i="8" s="1"/>
  <c r="F95" i="8"/>
  <c r="G95" i="8" s="1"/>
  <c r="H95" i="8" s="1"/>
  <c r="I95" i="8" s="1"/>
  <c r="J95" i="8" s="1"/>
  <c r="K95" i="8" s="1"/>
  <c r="L95" i="8" s="1"/>
  <c r="M95" i="8" s="1"/>
  <c r="N95" i="8" s="1"/>
  <c r="F96" i="8"/>
  <c r="G96" i="8" s="1"/>
  <c r="H96" i="8" s="1"/>
  <c r="I96" i="8" s="1"/>
  <c r="J96" i="8" s="1"/>
  <c r="K96" i="8" s="1"/>
  <c r="L96" i="8" s="1"/>
  <c r="M96" i="8" s="1"/>
  <c r="N96" i="8" s="1"/>
  <c r="F97" i="8"/>
  <c r="G97" i="8" s="1"/>
  <c r="H97" i="8" s="1"/>
  <c r="I97" i="8" s="1"/>
  <c r="J97" i="8" s="1"/>
  <c r="K97" i="8" s="1"/>
  <c r="L97" i="8" s="1"/>
  <c r="M97" i="8" s="1"/>
  <c r="N97" i="8" s="1"/>
  <c r="F98" i="8"/>
  <c r="G98" i="8" s="1"/>
  <c r="H98" i="8" s="1"/>
  <c r="I98" i="8" s="1"/>
  <c r="J98" i="8" s="1"/>
  <c r="K98" i="8" s="1"/>
  <c r="L98" i="8" s="1"/>
  <c r="M98" i="8" s="1"/>
  <c r="N98" i="8" s="1"/>
  <c r="F99" i="8"/>
  <c r="G99" i="8" s="1"/>
  <c r="H99" i="8" s="1"/>
  <c r="I99" i="8" s="1"/>
  <c r="J99" i="8" s="1"/>
  <c r="K99" i="8" s="1"/>
  <c r="L99" i="8" s="1"/>
  <c r="M99" i="8" s="1"/>
  <c r="N99" i="8" s="1"/>
  <c r="F100" i="8"/>
  <c r="G100" i="8" s="1"/>
  <c r="H100" i="8" s="1"/>
  <c r="I100" i="8" s="1"/>
  <c r="J100" i="8" s="1"/>
  <c r="K100" i="8" s="1"/>
  <c r="L100" i="8" s="1"/>
  <c r="M100" i="8" s="1"/>
  <c r="N100" i="8" s="1"/>
  <c r="F101" i="8"/>
  <c r="G101" i="8" s="1"/>
  <c r="H101" i="8" s="1"/>
  <c r="I101" i="8" s="1"/>
  <c r="J101" i="8" s="1"/>
  <c r="K101" i="8" s="1"/>
  <c r="L101" i="8" s="1"/>
  <c r="M101" i="8" s="1"/>
  <c r="N101" i="8" s="1"/>
  <c r="F102" i="8"/>
  <c r="G102" i="8" s="1"/>
  <c r="H102" i="8" s="1"/>
  <c r="I102" i="8" s="1"/>
  <c r="J102" i="8" s="1"/>
  <c r="K102" i="8" s="1"/>
  <c r="L102" i="8" s="1"/>
  <c r="M102" i="8" s="1"/>
  <c r="N102" i="8" s="1"/>
  <c r="F103" i="8"/>
  <c r="G103" i="8" s="1"/>
  <c r="H103" i="8" s="1"/>
  <c r="I103" i="8" s="1"/>
  <c r="J103" i="8" s="1"/>
  <c r="K103" i="8" s="1"/>
  <c r="L103" i="8" s="1"/>
  <c r="M103" i="8" s="1"/>
  <c r="N103" i="8" s="1"/>
  <c r="F104" i="8"/>
  <c r="G104" i="8" s="1"/>
  <c r="H104" i="8" s="1"/>
  <c r="I104" i="8" s="1"/>
  <c r="J104" i="8" s="1"/>
  <c r="K104" i="8" s="1"/>
  <c r="L104" i="8" s="1"/>
  <c r="M104" i="8" s="1"/>
  <c r="N104" i="8" s="1"/>
  <c r="F105" i="8"/>
  <c r="G105" i="8" s="1"/>
  <c r="H105" i="8" s="1"/>
  <c r="I105" i="8" s="1"/>
  <c r="J105" i="8" s="1"/>
  <c r="K105" i="8" s="1"/>
  <c r="L105" i="8" s="1"/>
  <c r="M105" i="8" s="1"/>
  <c r="N105" i="8" s="1"/>
  <c r="F106" i="8"/>
  <c r="G106" i="8" s="1"/>
  <c r="H106" i="8" s="1"/>
  <c r="I106" i="8" s="1"/>
  <c r="J106" i="8" s="1"/>
  <c r="K106" i="8" s="1"/>
  <c r="L106" i="8" s="1"/>
  <c r="M106" i="8" s="1"/>
  <c r="N106" i="8" s="1"/>
  <c r="F107" i="8"/>
  <c r="G107" i="8" s="1"/>
  <c r="H107" i="8" s="1"/>
  <c r="I107" i="8" s="1"/>
  <c r="J107" i="8" s="1"/>
  <c r="K107" i="8" s="1"/>
  <c r="L107" i="8" s="1"/>
  <c r="M107" i="8" s="1"/>
  <c r="N107" i="8" s="1"/>
  <c r="F108" i="8"/>
  <c r="G108" i="8" s="1"/>
  <c r="H108" i="8" s="1"/>
  <c r="I108" i="8" s="1"/>
  <c r="J108" i="8" s="1"/>
  <c r="K108" i="8" s="1"/>
  <c r="L108" i="8" s="1"/>
  <c r="M108" i="8" s="1"/>
  <c r="N108" i="8" s="1"/>
  <c r="F109" i="8"/>
  <c r="G109" i="8" s="1"/>
  <c r="H109" i="8" s="1"/>
  <c r="I109" i="8" s="1"/>
  <c r="J109" i="8" s="1"/>
  <c r="K109" i="8" s="1"/>
  <c r="L109" i="8" s="1"/>
  <c r="M109" i="8" s="1"/>
  <c r="N109" i="8" s="1"/>
  <c r="F110" i="8"/>
  <c r="G110" i="8" s="1"/>
  <c r="H110" i="8" s="1"/>
  <c r="I110" i="8" s="1"/>
  <c r="J110" i="8" s="1"/>
  <c r="K110" i="8" s="1"/>
  <c r="L110" i="8" s="1"/>
  <c r="M110" i="8" s="1"/>
  <c r="N110" i="8" s="1"/>
  <c r="F111" i="8"/>
  <c r="G111" i="8" s="1"/>
  <c r="H111" i="8" s="1"/>
  <c r="I111" i="8" s="1"/>
  <c r="J111" i="8" s="1"/>
  <c r="K111" i="8" s="1"/>
  <c r="L111" i="8" s="1"/>
  <c r="M111" i="8" s="1"/>
  <c r="N111" i="8" s="1"/>
  <c r="F112" i="8"/>
  <c r="G112" i="8" s="1"/>
  <c r="H112" i="8" s="1"/>
  <c r="I112" i="8" s="1"/>
  <c r="J112" i="8" s="1"/>
  <c r="K112" i="8" s="1"/>
  <c r="L112" i="8" s="1"/>
  <c r="M112" i="8" s="1"/>
  <c r="N112" i="8" s="1"/>
  <c r="F113" i="8"/>
  <c r="G113" i="8" s="1"/>
  <c r="H113" i="8" s="1"/>
  <c r="I113" i="8" s="1"/>
  <c r="J113" i="8" s="1"/>
  <c r="K113" i="8" s="1"/>
  <c r="L113" i="8" s="1"/>
  <c r="M113" i="8" s="1"/>
  <c r="N113" i="8" s="1"/>
  <c r="F114" i="8"/>
  <c r="G114" i="8" s="1"/>
  <c r="H114" i="8" s="1"/>
  <c r="I114" i="8" s="1"/>
  <c r="J114" i="8" s="1"/>
  <c r="K114" i="8" s="1"/>
  <c r="L114" i="8" s="1"/>
  <c r="M114" i="8" s="1"/>
  <c r="N114" i="8" s="1"/>
  <c r="F115" i="8"/>
  <c r="G115" i="8" s="1"/>
  <c r="H115" i="8" s="1"/>
  <c r="I115" i="8" s="1"/>
  <c r="J115" i="8" s="1"/>
  <c r="K115" i="8" s="1"/>
  <c r="L115" i="8" s="1"/>
  <c r="M115" i="8" s="1"/>
  <c r="N115" i="8" s="1"/>
  <c r="F116" i="8"/>
  <c r="G116" i="8" s="1"/>
  <c r="H116" i="8" s="1"/>
  <c r="I116" i="8" s="1"/>
  <c r="J116" i="8" s="1"/>
  <c r="K116" i="8" s="1"/>
  <c r="L116" i="8" s="1"/>
  <c r="M116" i="8" s="1"/>
  <c r="N116" i="8" s="1"/>
  <c r="F117" i="8"/>
  <c r="G117" i="8" s="1"/>
  <c r="H117" i="8" s="1"/>
  <c r="I117" i="8" s="1"/>
  <c r="J117" i="8" s="1"/>
  <c r="K117" i="8" s="1"/>
  <c r="L117" i="8" s="1"/>
  <c r="M117" i="8" s="1"/>
  <c r="N117" i="8" s="1"/>
  <c r="F118" i="8"/>
  <c r="G118" i="8" s="1"/>
  <c r="H118" i="8" s="1"/>
  <c r="I118" i="8" s="1"/>
  <c r="J118" i="8" s="1"/>
  <c r="K118" i="8" s="1"/>
  <c r="L118" i="8" s="1"/>
  <c r="M118" i="8" s="1"/>
  <c r="N118" i="8" s="1"/>
  <c r="F119" i="8"/>
  <c r="G119" i="8" s="1"/>
  <c r="H119" i="8" s="1"/>
  <c r="I119" i="8" s="1"/>
  <c r="J119" i="8" s="1"/>
  <c r="K119" i="8" s="1"/>
  <c r="L119" i="8" s="1"/>
  <c r="M119" i="8" s="1"/>
  <c r="N119" i="8" s="1"/>
  <c r="F120" i="8"/>
  <c r="G120" i="8" s="1"/>
  <c r="H120" i="8" s="1"/>
  <c r="I120" i="8" s="1"/>
  <c r="J120" i="8" s="1"/>
  <c r="K120" i="8" s="1"/>
  <c r="L120" i="8" s="1"/>
  <c r="M120" i="8" s="1"/>
  <c r="N120" i="8" s="1"/>
  <c r="F121" i="8"/>
  <c r="G121" i="8" s="1"/>
  <c r="H121" i="8" s="1"/>
  <c r="I121" i="8" s="1"/>
  <c r="J121" i="8" s="1"/>
  <c r="K121" i="8" s="1"/>
  <c r="L121" i="8" s="1"/>
  <c r="M121" i="8" s="1"/>
  <c r="N121" i="8" s="1"/>
  <c r="F122" i="8"/>
  <c r="G122" i="8" s="1"/>
  <c r="H122" i="8" s="1"/>
  <c r="I122" i="8" s="1"/>
  <c r="J122" i="8" s="1"/>
  <c r="K122" i="8" s="1"/>
  <c r="L122" i="8" s="1"/>
  <c r="M122" i="8" s="1"/>
  <c r="N122" i="8" s="1"/>
  <c r="F123" i="8"/>
  <c r="G123" i="8" s="1"/>
  <c r="H123" i="8" s="1"/>
  <c r="I123" i="8" s="1"/>
  <c r="J123" i="8" s="1"/>
  <c r="K123" i="8" s="1"/>
  <c r="L123" i="8" s="1"/>
  <c r="M123" i="8" s="1"/>
  <c r="N123" i="8" s="1"/>
  <c r="F124" i="8"/>
  <c r="G124" i="8" s="1"/>
  <c r="H124" i="8" s="1"/>
  <c r="I124" i="8" s="1"/>
  <c r="J124" i="8" s="1"/>
  <c r="K124" i="8" s="1"/>
  <c r="L124" i="8" s="1"/>
  <c r="M124" i="8" s="1"/>
  <c r="N124" i="8" s="1"/>
  <c r="F125" i="8"/>
  <c r="G125" i="8" s="1"/>
  <c r="H125" i="8" s="1"/>
  <c r="I125" i="8" s="1"/>
  <c r="J125" i="8" s="1"/>
  <c r="K125" i="8" s="1"/>
  <c r="L125" i="8" s="1"/>
  <c r="M125" i="8" s="1"/>
  <c r="N125" i="8" s="1"/>
  <c r="F126" i="8"/>
  <c r="G126" i="8" s="1"/>
  <c r="H126" i="8" s="1"/>
  <c r="I126" i="8" s="1"/>
  <c r="J126" i="8" s="1"/>
  <c r="K126" i="8" s="1"/>
  <c r="L126" i="8" s="1"/>
  <c r="M126" i="8" s="1"/>
  <c r="N126" i="8" s="1"/>
  <c r="F127" i="8"/>
  <c r="G127" i="8" s="1"/>
  <c r="H127" i="8" s="1"/>
  <c r="I127" i="8" s="1"/>
  <c r="J127" i="8" s="1"/>
  <c r="K127" i="8" s="1"/>
  <c r="L127" i="8" s="1"/>
  <c r="M127" i="8" s="1"/>
  <c r="N127" i="8" s="1"/>
  <c r="F128" i="8"/>
  <c r="G128" i="8" s="1"/>
  <c r="H128" i="8" s="1"/>
  <c r="I128" i="8" s="1"/>
  <c r="J128" i="8" s="1"/>
  <c r="K128" i="8" s="1"/>
  <c r="L128" i="8" s="1"/>
  <c r="M128" i="8" s="1"/>
  <c r="N128" i="8" s="1"/>
  <c r="F129" i="8"/>
  <c r="G129" i="8" s="1"/>
  <c r="H129" i="8" s="1"/>
  <c r="I129" i="8" s="1"/>
  <c r="J129" i="8" s="1"/>
  <c r="K129" i="8" s="1"/>
  <c r="L129" i="8" s="1"/>
  <c r="M129" i="8" s="1"/>
  <c r="N129" i="8" s="1"/>
  <c r="F130" i="8"/>
  <c r="G130" i="8" s="1"/>
  <c r="H130" i="8" s="1"/>
  <c r="I130" i="8" s="1"/>
  <c r="J130" i="8" s="1"/>
  <c r="K130" i="8" s="1"/>
  <c r="L130" i="8" s="1"/>
  <c r="M130" i="8" s="1"/>
  <c r="N130" i="8" s="1"/>
  <c r="F131" i="8"/>
  <c r="G131" i="8" s="1"/>
  <c r="H131" i="8" s="1"/>
  <c r="I131" i="8" s="1"/>
  <c r="J131" i="8" s="1"/>
  <c r="K131" i="8" s="1"/>
  <c r="L131" i="8" s="1"/>
  <c r="M131" i="8" s="1"/>
  <c r="N131" i="8" s="1"/>
  <c r="F132" i="8"/>
  <c r="G132" i="8" s="1"/>
  <c r="H132" i="8" s="1"/>
  <c r="I132" i="8" s="1"/>
  <c r="J132" i="8" s="1"/>
  <c r="K132" i="8" s="1"/>
  <c r="L132" i="8" s="1"/>
  <c r="M132" i="8" s="1"/>
  <c r="N132" i="8" s="1"/>
  <c r="F133" i="8"/>
  <c r="G133" i="8" s="1"/>
  <c r="H133" i="8" s="1"/>
  <c r="I133" i="8" s="1"/>
  <c r="J133" i="8" s="1"/>
  <c r="K133" i="8" s="1"/>
  <c r="L133" i="8" s="1"/>
  <c r="M133" i="8" s="1"/>
  <c r="N133" i="8" s="1"/>
  <c r="F134" i="8"/>
  <c r="G134" i="8" s="1"/>
  <c r="H134" i="8" s="1"/>
  <c r="I134" i="8" s="1"/>
  <c r="J134" i="8" s="1"/>
  <c r="K134" i="8" s="1"/>
  <c r="L134" i="8" s="1"/>
  <c r="M134" i="8" s="1"/>
  <c r="N134" i="8" s="1"/>
  <c r="F135" i="8"/>
  <c r="G135" i="8" s="1"/>
  <c r="H135" i="8" s="1"/>
  <c r="I135" i="8" s="1"/>
  <c r="J135" i="8" s="1"/>
  <c r="K135" i="8" s="1"/>
  <c r="L135" i="8" s="1"/>
  <c r="M135" i="8" s="1"/>
  <c r="N135" i="8" s="1"/>
  <c r="F136" i="8"/>
  <c r="G136" i="8" s="1"/>
  <c r="H136" i="8" s="1"/>
  <c r="I136" i="8" s="1"/>
  <c r="J136" i="8" s="1"/>
  <c r="K136" i="8" s="1"/>
  <c r="L136" i="8" s="1"/>
  <c r="M136" i="8" s="1"/>
  <c r="N136" i="8" s="1"/>
  <c r="F137" i="8"/>
  <c r="G137" i="8" s="1"/>
  <c r="H137" i="8" s="1"/>
  <c r="I137" i="8" s="1"/>
  <c r="J137" i="8" s="1"/>
  <c r="K137" i="8" s="1"/>
  <c r="L137" i="8" s="1"/>
  <c r="M137" i="8" s="1"/>
  <c r="N137" i="8" s="1"/>
  <c r="F138" i="8"/>
  <c r="G138" i="8" s="1"/>
  <c r="H138" i="8" s="1"/>
  <c r="I138" i="8" s="1"/>
  <c r="J138" i="8" s="1"/>
  <c r="K138" i="8" s="1"/>
  <c r="L138" i="8" s="1"/>
  <c r="M138" i="8" s="1"/>
  <c r="N138" i="8" s="1"/>
  <c r="F139" i="8"/>
  <c r="G139" i="8" s="1"/>
  <c r="H139" i="8" s="1"/>
  <c r="I139" i="8" s="1"/>
  <c r="J139" i="8" s="1"/>
  <c r="K139" i="8" s="1"/>
  <c r="L139" i="8" s="1"/>
  <c r="M139" i="8" s="1"/>
  <c r="N139" i="8" s="1"/>
  <c r="F140" i="8"/>
  <c r="G140" i="8" s="1"/>
  <c r="H140" i="8" s="1"/>
  <c r="I140" i="8" s="1"/>
  <c r="J140" i="8" s="1"/>
  <c r="K140" i="8" s="1"/>
  <c r="L140" i="8" s="1"/>
  <c r="M140" i="8" s="1"/>
  <c r="N140" i="8" s="1"/>
  <c r="F141" i="8"/>
  <c r="G141" i="8" s="1"/>
  <c r="H141" i="8" s="1"/>
  <c r="I141" i="8" s="1"/>
  <c r="J141" i="8" s="1"/>
  <c r="K141" i="8" s="1"/>
  <c r="L141" i="8" s="1"/>
  <c r="M141" i="8" s="1"/>
  <c r="N141" i="8" s="1"/>
  <c r="F142" i="8"/>
  <c r="G142" i="8" s="1"/>
  <c r="H142" i="8" s="1"/>
  <c r="I142" i="8" s="1"/>
  <c r="J142" i="8" s="1"/>
  <c r="K142" i="8" s="1"/>
  <c r="L142" i="8" s="1"/>
  <c r="M142" i="8" s="1"/>
  <c r="N142" i="8" s="1"/>
  <c r="F143" i="8"/>
  <c r="G143" i="8" s="1"/>
  <c r="H143" i="8" s="1"/>
  <c r="I143" i="8" s="1"/>
  <c r="J143" i="8" s="1"/>
  <c r="K143" i="8" s="1"/>
  <c r="L143" i="8" s="1"/>
  <c r="M143" i="8" s="1"/>
  <c r="N143" i="8" s="1"/>
  <c r="F144" i="8"/>
  <c r="G144" i="8" s="1"/>
  <c r="H144" i="8" s="1"/>
  <c r="I144" i="8" s="1"/>
  <c r="J144" i="8" s="1"/>
  <c r="K144" i="8" s="1"/>
  <c r="L144" i="8" s="1"/>
  <c r="M144" i="8" s="1"/>
  <c r="N144" i="8" s="1"/>
  <c r="F145" i="8"/>
  <c r="G145" i="8" s="1"/>
  <c r="H145" i="8" s="1"/>
  <c r="I145" i="8" s="1"/>
  <c r="J145" i="8" s="1"/>
  <c r="K145" i="8" s="1"/>
  <c r="L145" i="8" s="1"/>
  <c r="M145" i="8" s="1"/>
  <c r="N145" i="8" s="1"/>
  <c r="F146" i="8"/>
  <c r="G146" i="8" s="1"/>
  <c r="H146" i="8" s="1"/>
  <c r="I146" i="8" s="1"/>
  <c r="J146" i="8" s="1"/>
  <c r="K146" i="8" s="1"/>
  <c r="L146" i="8" s="1"/>
  <c r="M146" i="8" s="1"/>
  <c r="N146" i="8" s="1"/>
  <c r="F147" i="8"/>
  <c r="G147" i="8" s="1"/>
  <c r="H147" i="8" s="1"/>
  <c r="I147" i="8" s="1"/>
  <c r="J147" i="8" s="1"/>
  <c r="K147" i="8" s="1"/>
  <c r="L147" i="8" s="1"/>
  <c r="M147" i="8" s="1"/>
  <c r="N147" i="8" s="1"/>
  <c r="F148" i="8"/>
  <c r="G148" i="8" s="1"/>
  <c r="H148" i="8" s="1"/>
  <c r="I148" i="8" s="1"/>
  <c r="J148" i="8" s="1"/>
  <c r="K148" i="8" s="1"/>
  <c r="L148" i="8" s="1"/>
  <c r="M148" i="8" s="1"/>
  <c r="N148" i="8" s="1"/>
  <c r="F149" i="8"/>
  <c r="G149" i="8" s="1"/>
  <c r="H149" i="8" s="1"/>
  <c r="I149" i="8" s="1"/>
  <c r="J149" i="8" s="1"/>
  <c r="K149" i="8" s="1"/>
  <c r="L149" i="8" s="1"/>
  <c r="M149" i="8" s="1"/>
  <c r="N149" i="8" s="1"/>
  <c r="F150" i="8"/>
  <c r="G150" i="8" s="1"/>
  <c r="H150" i="8" s="1"/>
  <c r="I150" i="8" s="1"/>
  <c r="J150" i="8" s="1"/>
  <c r="K150" i="8" s="1"/>
  <c r="L150" i="8" s="1"/>
  <c r="M150" i="8" s="1"/>
  <c r="N150" i="8" s="1"/>
  <c r="F151" i="8"/>
  <c r="G151" i="8" s="1"/>
  <c r="H151" i="8" s="1"/>
  <c r="I151" i="8" s="1"/>
  <c r="J151" i="8" s="1"/>
  <c r="K151" i="8" s="1"/>
  <c r="L151" i="8" s="1"/>
  <c r="M151" i="8" s="1"/>
  <c r="N151" i="8" s="1"/>
  <c r="F152" i="8"/>
  <c r="G152" i="8" s="1"/>
  <c r="H152" i="8" s="1"/>
  <c r="I152" i="8" s="1"/>
  <c r="J152" i="8" s="1"/>
  <c r="K152" i="8" s="1"/>
  <c r="L152" i="8" s="1"/>
  <c r="M152" i="8" s="1"/>
  <c r="N152" i="8" s="1"/>
  <c r="F153" i="8"/>
  <c r="G153" i="8" s="1"/>
  <c r="H153" i="8" s="1"/>
  <c r="I153" i="8" s="1"/>
  <c r="J153" i="8" s="1"/>
  <c r="K153" i="8" s="1"/>
  <c r="L153" i="8" s="1"/>
  <c r="M153" i="8" s="1"/>
  <c r="N153" i="8" s="1"/>
  <c r="F154" i="8"/>
  <c r="G154" i="8" s="1"/>
  <c r="H154" i="8" s="1"/>
  <c r="I154" i="8" s="1"/>
  <c r="J154" i="8" s="1"/>
  <c r="K154" i="8" s="1"/>
  <c r="L154" i="8" s="1"/>
  <c r="M154" i="8" s="1"/>
  <c r="N154" i="8" s="1"/>
  <c r="F155" i="8"/>
  <c r="G155" i="8" s="1"/>
  <c r="H155" i="8" s="1"/>
  <c r="I155" i="8" s="1"/>
  <c r="J155" i="8" s="1"/>
  <c r="K155" i="8" s="1"/>
  <c r="L155" i="8" s="1"/>
  <c r="M155" i="8" s="1"/>
  <c r="N155" i="8" s="1"/>
  <c r="F156" i="8"/>
  <c r="G156" i="8" s="1"/>
  <c r="H156" i="8" s="1"/>
  <c r="I156" i="8" s="1"/>
  <c r="J156" i="8" s="1"/>
  <c r="K156" i="8" s="1"/>
  <c r="L156" i="8" s="1"/>
  <c r="M156" i="8" s="1"/>
  <c r="N156" i="8" s="1"/>
  <c r="F157" i="8"/>
  <c r="G157" i="8" s="1"/>
  <c r="H157" i="8" s="1"/>
  <c r="I157" i="8" s="1"/>
  <c r="J157" i="8" s="1"/>
  <c r="K157" i="8" s="1"/>
  <c r="L157" i="8" s="1"/>
  <c r="M157" i="8" s="1"/>
  <c r="N157" i="8" s="1"/>
  <c r="F158" i="8"/>
  <c r="G158" i="8" s="1"/>
  <c r="H158" i="8" s="1"/>
  <c r="I158" i="8" s="1"/>
  <c r="J158" i="8" s="1"/>
  <c r="K158" i="8" s="1"/>
  <c r="L158" i="8" s="1"/>
  <c r="M158" i="8" s="1"/>
  <c r="N158" i="8" s="1"/>
  <c r="F159" i="8"/>
  <c r="G159" i="8" s="1"/>
  <c r="H159" i="8" s="1"/>
  <c r="I159" i="8" s="1"/>
  <c r="J159" i="8" s="1"/>
  <c r="K159" i="8" s="1"/>
  <c r="L159" i="8" s="1"/>
  <c r="M159" i="8" s="1"/>
  <c r="N159" i="8" s="1"/>
  <c r="F160" i="8"/>
  <c r="G160" i="8" s="1"/>
  <c r="H160" i="8" s="1"/>
  <c r="I160" i="8" s="1"/>
  <c r="J160" i="8" s="1"/>
  <c r="K160" i="8" s="1"/>
  <c r="L160" i="8" s="1"/>
  <c r="M160" i="8" s="1"/>
  <c r="N160" i="8" s="1"/>
  <c r="F161" i="8"/>
  <c r="G161" i="8" s="1"/>
  <c r="H161" i="8" s="1"/>
  <c r="I161" i="8" s="1"/>
  <c r="J161" i="8" s="1"/>
  <c r="K161" i="8" s="1"/>
  <c r="L161" i="8" s="1"/>
  <c r="M161" i="8" s="1"/>
  <c r="N161" i="8" s="1"/>
  <c r="F162" i="8"/>
  <c r="G162" i="8" s="1"/>
  <c r="H162" i="8" s="1"/>
  <c r="I162" i="8" s="1"/>
  <c r="J162" i="8" s="1"/>
  <c r="K162" i="8" s="1"/>
  <c r="L162" i="8" s="1"/>
  <c r="M162" i="8" s="1"/>
  <c r="N162" i="8" s="1"/>
  <c r="F163" i="8"/>
  <c r="G163" i="8" s="1"/>
  <c r="H163" i="8" s="1"/>
  <c r="I163" i="8" s="1"/>
  <c r="J163" i="8" s="1"/>
  <c r="K163" i="8" s="1"/>
  <c r="L163" i="8" s="1"/>
  <c r="M163" i="8" s="1"/>
  <c r="N163" i="8" s="1"/>
  <c r="F164" i="8"/>
  <c r="G164" i="8" s="1"/>
  <c r="H164" i="8" s="1"/>
  <c r="I164" i="8" s="1"/>
  <c r="J164" i="8" s="1"/>
  <c r="K164" i="8" s="1"/>
  <c r="L164" i="8" s="1"/>
  <c r="M164" i="8" s="1"/>
  <c r="N164" i="8" s="1"/>
  <c r="F165" i="8"/>
  <c r="G165" i="8" s="1"/>
  <c r="H165" i="8" s="1"/>
  <c r="I165" i="8" s="1"/>
  <c r="J165" i="8" s="1"/>
  <c r="K165" i="8" s="1"/>
  <c r="L165" i="8" s="1"/>
  <c r="M165" i="8" s="1"/>
  <c r="N165" i="8" s="1"/>
  <c r="F166" i="8"/>
  <c r="G166" i="8" s="1"/>
  <c r="H166" i="8" s="1"/>
  <c r="I166" i="8" s="1"/>
  <c r="J166" i="8" s="1"/>
  <c r="K166" i="8" s="1"/>
  <c r="L166" i="8" s="1"/>
  <c r="M166" i="8" s="1"/>
  <c r="N166" i="8" s="1"/>
  <c r="F167" i="8"/>
  <c r="G167" i="8" s="1"/>
  <c r="H167" i="8" s="1"/>
  <c r="I167" i="8" s="1"/>
  <c r="J167" i="8" s="1"/>
  <c r="K167" i="8" s="1"/>
  <c r="L167" i="8" s="1"/>
  <c r="M167" i="8" s="1"/>
  <c r="N167" i="8" s="1"/>
  <c r="F168" i="8"/>
  <c r="G168" i="8" s="1"/>
  <c r="H168" i="8" s="1"/>
  <c r="I168" i="8" s="1"/>
  <c r="J168" i="8" s="1"/>
  <c r="K168" i="8" s="1"/>
  <c r="L168" i="8" s="1"/>
  <c r="M168" i="8" s="1"/>
  <c r="N168" i="8" s="1"/>
  <c r="F169" i="8"/>
  <c r="G169" i="8" s="1"/>
  <c r="H169" i="8" s="1"/>
  <c r="I169" i="8" s="1"/>
  <c r="J169" i="8" s="1"/>
  <c r="K169" i="8" s="1"/>
  <c r="L169" i="8" s="1"/>
  <c r="M169" i="8" s="1"/>
  <c r="N169" i="8" s="1"/>
  <c r="F170" i="8"/>
  <c r="G170" i="8" s="1"/>
  <c r="H170" i="8" s="1"/>
  <c r="I170" i="8" s="1"/>
  <c r="J170" i="8" s="1"/>
  <c r="K170" i="8" s="1"/>
  <c r="L170" i="8" s="1"/>
  <c r="M170" i="8" s="1"/>
  <c r="N170" i="8" s="1"/>
  <c r="F171" i="8"/>
  <c r="G171" i="8" s="1"/>
  <c r="H171" i="8" s="1"/>
  <c r="I171" i="8" s="1"/>
  <c r="J171" i="8" s="1"/>
  <c r="K171" i="8" s="1"/>
  <c r="L171" i="8" s="1"/>
  <c r="M171" i="8" s="1"/>
  <c r="N171" i="8" s="1"/>
  <c r="F172" i="8"/>
  <c r="G172" i="8" s="1"/>
  <c r="H172" i="8" s="1"/>
  <c r="I172" i="8" s="1"/>
  <c r="J172" i="8" s="1"/>
  <c r="K172" i="8" s="1"/>
  <c r="L172" i="8" s="1"/>
  <c r="M172" i="8" s="1"/>
  <c r="N172" i="8" s="1"/>
  <c r="F173" i="8"/>
  <c r="G173" i="8" s="1"/>
  <c r="H173" i="8" s="1"/>
  <c r="I173" i="8" s="1"/>
  <c r="J173" i="8" s="1"/>
  <c r="K173" i="8" s="1"/>
  <c r="L173" i="8" s="1"/>
  <c r="M173" i="8" s="1"/>
  <c r="N173" i="8" s="1"/>
  <c r="F174" i="8"/>
  <c r="G174" i="8" s="1"/>
  <c r="H174" i="8" s="1"/>
  <c r="I174" i="8" s="1"/>
  <c r="J174" i="8" s="1"/>
  <c r="K174" i="8" s="1"/>
  <c r="L174" i="8" s="1"/>
  <c r="M174" i="8" s="1"/>
  <c r="N174" i="8" s="1"/>
  <c r="F175" i="8"/>
  <c r="G175" i="8" s="1"/>
  <c r="H175" i="8" s="1"/>
  <c r="I175" i="8" s="1"/>
  <c r="J175" i="8" s="1"/>
  <c r="K175" i="8" s="1"/>
  <c r="L175" i="8" s="1"/>
  <c r="M175" i="8" s="1"/>
  <c r="N175" i="8" s="1"/>
  <c r="F176" i="8"/>
  <c r="G176" i="8" s="1"/>
  <c r="H176" i="8" s="1"/>
  <c r="I176" i="8" s="1"/>
  <c r="J176" i="8" s="1"/>
  <c r="K176" i="8" s="1"/>
  <c r="L176" i="8" s="1"/>
  <c r="M176" i="8" s="1"/>
  <c r="N176" i="8" s="1"/>
  <c r="F177" i="8"/>
  <c r="G177" i="8" s="1"/>
  <c r="H177" i="8" s="1"/>
  <c r="I177" i="8" s="1"/>
  <c r="J177" i="8" s="1"/>
  <c r="K177" i="8" s="1"/>
  <c r="L177" i="8" s="1"/>
  <c r="M177" i="8" s="1"/>
  <c r="N177" i="8" s="1"/>
  <c r="F178" i="8"/>
  <c r="G178" i="8" s="1"/>
  <c r="H178" i="8" s="1"/>
  <c r="I178" i="8" s="1"/>
  <c r="J178" i="8" s="1"/>
  <c r="K178" i="8" s="1"/>
  <c r="L178" i="8" s="1"/>
  <c r="M178" i="8" s="1"/>
  <c r="N178" i="8" s="1"/>
  <c r="F179" i="8"/>
  <c r="G179" i="8" s="1"/>
  <c r="H179" i="8" s="1"/>
  <c r="I179" i="8" s="1"/>
  <c r="J179" i="8" s="1"/>
  <c r="K179" i="8" s="1"/>
  <c r="L179" i="8" s="1"/>
  <c r="M179" i="8" s="1"/>
  <c r="N179" i="8" s="1"/>
  <c r="F180" i="8"/>
  <c r="G180" i="8" s="1"/>
  <c r="H180" i="8" s="1"/>
  <c r="I180" i="8" s="1"/>
  <c r="J180" i="8" s="1"/>
  <c r="K180" i="8" s="1"/>
  <c r="L180" i="8" s="1"/>
  <c r="M180" i="8" s="1"/>
  <c r="N180" i="8" s="1"/>
  <c r="F181" i="8"/>
  <c r="G181" i="8" s="1"/>
  <c r="H181" i="8" s="1"/>
  <c r="I181" i="8" s="1"/>
  <c r="J181" i="8" s="1"/>
  <c r="K181" i="8" s="1"/>
  <c r="L181" i="8" s="1"/>
  <c r="M181" i="8" s="1"/>
  <c r="N181" i="8" s="1"/>
  <c r="F182" i="8"/>
  <c r="G182" i="8" s="1"/>
  <c r="H182" i="8" s="1"/>
  <c r="I182" i="8" s="1"/>
  <c r="J182" i="8" s="1"/>
  <c r="K182" i="8" s="1"/>
  <c r="L182" i="8" s="1"/>
  <c r="M182" i="8" s="1"/>
  <c r="N182" i="8" s="1"/>
  <c r="F183" i="8"/>
  <c r="G183" i="8" s="1"/>
  <c r="H183" i="8" s="1"/>
  <c r="I183" i="8" s="1"/>
  <c r="J183" i="8" s="1"/>
  <c r="K183" i="8" s="1"/>
  <c r="L183" i="8" s="1"/>
  <c r="M183" i="8" s="1"/>
  <c r="N183" i="8" s="1"/>
  <c r="F184" i="8"/>
  <c r="G184" i="8" s="1"/>
  <c r="H184" i="8" s="1"/>
  <c r="I184" i="8" s="1"/>
  <c r="J184" i="8" s="1"/>
  <c r="K184" i="8" s="1"/>
  <c r="L184" i="8" s="1"/>
  <c r="M184" i="8" s="1"/>
  <c r="N184" i="8" s="1"/>
  <c r="F185" i="8"/>
  <c r="G185" i="8" s="1"/>
  <c r="H185" i="8" s="1"/>
  <c r="I185" i="8" s="1"/>
  <c r="J185" i="8" s="1"/>
  <c r="K185" i="8" s="1"/>
  <c r="L185" i="8" s="1"/>
  <c r="M185" i="8" s="1"/>
  <c r="N185" i="8" s="1"/>
  <c r="F186" i="8"/>
  <c r="G186" i="8" s="1"/>
  <c r="H186" i="8" s="1"/>
  <c r="I186" i="8" s="1"/>
  <c r="J186" i="8" s="1"/>
  <c r="K186" i="8" s="1"/>
  <c r="L186" i="8" s="1"/>
  <c r="M186" i="8" s="1"/>
  <c r="N186" i="8" s="1"/>
  <c r="F187" i="8"/>
  <c r="G187" i="8" s="1"/>
  <c r="H187" i="8" s="1"/>
  <c r="I187" i="8" s="1"/>
  <c r="J187" i="8" s="1"/>
  <c r="K187" i="8" s="1"/>
  <c r="L187" i="8" s="1"/>
  <c r="M187" i="8" s="1"/>
  <c r="N187" i="8" s="1"/>
  <c r="F188" i="8"/>
  <c r="G188" i="8" s="1"/>
  <c r="H188" i="8" s="1"/>
  <c r="I188" i="8" s="1"/>
  <c r="J188" i="8" s="1"/>
  <c r="K188" i="8" s="1"/>
  <c r="L188" i="8" s="1"/>
  <c r="M188" i="8" s="1"/>
  <c r="N188" i="8" s="1"/>
  <c r="F189" i="8"/>
  <c r="G189" i="8" s="1"/>
  <c r="H189" i="8" s="1"/>
  <c r="I189" i="8" s="1"/>
  <c r="J189" i="8" s="1"/>
  <c r="K189" i="8" s="1"/>
  <c r="L189" i="8" s="1"/>
  <c r="M189" i="8" s="1"/>
  <c r="N189" i="8" s="1"/>
  <c r="F190" i="8"/>
  <c r="G190" i="8" s="1"/>
  <c r="H190" i="8" s="1"/>
  <c r="I190" i="8" s="1"/>
  <c r="J190" i="8" s="1"/>
  <c r="K190" i="8" s="1"/>
  <c r="L190" i="8" s="1"/>
  <c r="M190" i="8" s="1"/>
  <c r="N190" i="8" s="1"/>
  <c r="F191" i="8"/>
  <c r="G191" i="8" s="1"/>
  <c r="H191" i="8" s="1"/>
  <c r="I191" i="8" s="1"/>
  <c r="J191" i="8" s="1"/>
  <c r="K191" i="8" s="1"/>
  <c r="L191" i="8" s="1"/>
  <c r="M191" i="8" s="1"/>
  <c r="N191" i="8" s="1"/>
  <c r="F192" i="8"/>
  <c r="G192" i="8" s="1"/>
  <c r="H192" i="8" s="1"/>
  <c r="I192" i="8" s="1"/>
  <c r="J192" i="8" s="1"/>
  <c r="K192" i="8" s="1"/>
  <c r="L192" i="8" s="1"/>
  <c r="M192" i="8" s="1"/>
  <c r="N192" i="8" s="1"/>
  <c r="F193" i="8"/>
  <c r="G193" i="8" s="1"/>
  <c r="H193" i="8" s="1"/>
  <c r="I193" i="8" s="1"/>
  <c r="J193" i="8" s="1"/>
  <c r="K193" i="8" s="1"/>
  <c r="L193" i="8" s="1"/>
  <c r="M193" i="8" s="1"/>
  <c r="N193" i="8" s="1"/>
  <c r="F194" i="8"/>
  <c r="G194" i="8" s="1"/>
  <c r="H194" i="8" s="1"/>
  <c r="I194" i="8" s="1"/>
  <c r="J194" i="8" s="1"/>
  <c r="K194" i="8" s="1"/>
  <c r="L194" i="8" s="1"/>
  <c r="M194" i="8" s="1"/>
  <c r="N194" i="8" s="1"/>
  <c r="F195" i="8"/>
  <c r="G195" i="8" s="1"/>
  <c r="H195" i="8" s="1"/>
  <c r="I195" i="8" s="1"/>
  <c r="J195" i="8" s="1"/>
  <c r="K195" i="8" s="1"/>
  <c r="L195" i="8" s="1"/>
  <c r="M195" i="8" s="1"/>
  <c r="N195" i="8" s="1"/>
  <c r="F196" i="8"/>
  <c r="G196" i="8" s="1"/>
  <c r="H196" i="8" s="1"/>
  <c r="I196" i="8" s="1"/>
  <c r="J196" i="8" s="1"/>
  <c r="K196" i="8" s="1"/>
  <c r="L196" i="8" s="1"/>
  <c r="M196" i="8" s="1"/>
  <c r="N196" i="8" s="1"/>
  <c r="F197" i="8"/>
  <c r="G197" i="8" s="1"/>
  <c r="H197" i="8" s="1"/>
  <c r="I197" i="8" s="1"/>
  <c r="J197" i="8" s="1"/>
  <c r="K197" i="8" s="1"/>
  <c r="L197" i="8" s="1"/>
  <c r="M197" i="8" s="1"/>
  <c r="N197" i="8" s="1"/>
  <c r="F198" i="8"/>
  <c r="G198" i="8" s="1"/>
  <c r="H198" i="8" s="1"/>
  <c r="I198" i="8" s="1"/>
  <c r="J198" i="8" s="1"/>
  <c r="K198" i="8" s="1"/>
  <c r="L198" i="8" s="1"/>
  <c r="M198" i="8" s="1"/>
  <c r="N198" i="8" s="1"/>
  <c r="F199" i="8"/>
  <c r="G199" i="8" s="1"/>
  <c r="H199" i="8" s="1"/>
  <c r="I199" i="8" s="1"/>
  <c r="J199" i="8" s="1"/>
  <c r="K199" i="8" s="1"/>
  <c r="L199" i="8" s="1"/>
  <c r="M199" i="8" s="1"/>
  <c r="N199" i="8" s="1"/>
  <c r="F200" i="8"/>
  <c r="G200" i="8" s="1"/>
  <c r="H200" i="8" s="1"/>
  <c r="I200" i="8" s="1"/>
  <c r="J200" i="8" s="1"/>
  <c r="K200" i="8" s="1"/>
  <c r="L200" i="8" s="1"/>
  <c r="M200" i="8" s="1"/>
  <c r="N200" i="8" s="1"/>
  <c r="F201" i="8"/>
  <c r="G201" i="8" s="1"/>
  <c r="H201" i="8" s="1"/>
  <c r="I201" i="8" s="1"/>
  <c r="J201" i="8" s="1"/>
  <c r="K201" i="8" s="1"/>
  <c r="L201" i="8" s="1"/>
  <c r="M201" i="8" s="1"/>
  <c r="N201" i="8" s="1"/>
  <c r="F202" i="8"/>
  <c r="G202" i="8" s="1"/>
  <c r="H202" i="8" s="1"/>
  <c r="I202" i="8" s="1"/>
  <c r="J202" i="8" s="1"/>
  <c r="K202" i="8" s="1"/>
  <c r="L202" i="8" s="1"/>
  <c r="M202" i="8" s="1"/>
  <c r="N202" i="8" s="1"/>
  <c r="F203" i="8"/>
  <c r="G203" i="8" s="1"/>
  <c r="H203" i="8" s="1"/>
  <c r="I203" i="8" s="1"/>
  <c r="J203" i="8" s="1"/>
  <c r="K203" i="8" s="1"/>
  <c r="L203" i="8" s="1"/>
  <c r="M203" i="8" s="1"/>
  <c r="N203" i="8" s="1"/>
  <c r="F204" i="8"/>
  <c r="G204" i="8" s="1"/>
  <c r="H204" i="8" s="1"/>
  <c r="I204" i="8" s="1"/>
  <c r="J204" i="8" s="1"/>
  <c r="K204" i="8" s="1"/>
  <c r="L204" i="8" s="1"/>
  <c r="M204" i="8" s="1"/>
  <c r="N204" i="8" s="1"/>
  <c r="F205" i="8"/>
  <c r="G205" i="8" s="1"/>
  <c r="H205" i="8" s="1"/>
  <c r="I205" i="8" s="1"/>
  <c r="J205" i="8" s="1"/>
  <c r="K205" i="8" s="1"/>
  <c r="L205" i="8" s="1"/>
  <c r="M205" i="8" s="1"/>
  <c r="N205" i="8" s="1"/>
  <c r="F206" i="8"/>
  <c r="G206" i="8" s="1"/>
  <c r="H206" i="8" s="1"/>
  <c r="I206" i="8" s="1"/>
  <c r="J206" i="8" s="1"/>
  <c r="K206" i="8" s="1"/>
  <c r="L206" i="8" s="1"/>
  <c r="M206" i="8" s="1"/>
  <c r="N206" i="8" s="1"/>
  <c r="F207" i="8"/>
  <c r="G207" i="8" s="1"/>
  <c r="H207" i="8" s="1"/>
  <c r="I207" i="8" s="1"/>
  <c r="J207" i="8" s="1"/>
  <c r="K207" i="8" s="1"/>
  <c r="L207" i="8" s="1"/>
  <c r="M207" i="8" s="1"/>
  <c r="N207" i="8" s="1"/>
  <c r="F208" i="8"/>
  <c r="G208" i="8" s="1"/>
  <c r="H208" i="8" s="1"/>
  <c r="I208" i="8" s="1"/>
  <c r="J208" i="8" s="1"/>
  <c r="K208" i="8" s="1"/>
  <c r="L208" i="8" s="1"/>
  <c r="M208" i="8" s="1"/>
  <c r="N208" i="8" s="1"/>
  <c r="F209" i="8"/>
  <c r="G209" i="8" s="1"/>
  <c r="H209" i="8" s="1"/>
  <c r="I209" i="8" s="1"/>
  <c r="J209" i="8" s="1"/>
  <c r="K209" i="8" s="1"/>
  <c r="L209" i="8" s="1"/>
  <c r="M209" i="8" s="1"/>
  <c r="N209" i="8" s="1"/>
  <c r="F210" i="8"/>
  <c r="G210" i="8" s="1"/>
  <c r="H210" i="8" s="1"/>
  <c r="I210" i="8" s="1"/>
  <c r="J210" i="8" s="1"/>
  <c r="K210" i="8" s="1"/>
  <c r="L210" i="8" s="1"/>
  <c r="M210" i="8" s="1"/>
  <c r="N210" i="8" s="1"/>
  <c r="F211" i="8"/>
  <c r="G211" i="8" s="1"/>
  <c r="H211" i="8" s="1"/>
  <c r="I211" i="8" s="1"/>
  <c r="J211" i="8" s="1"/>
  <c r="K211" i="8" s="1"/>
  <c r="L211" i="8" s="1"/>
  <c r="M211" i="8" s="1"/>
  <c r="N211" i="8" s="1"/>
  <c r="F212" i="8"/>
  <c r="G212" i="8" s="1"/>
  <c r="H212" i="8" s="1"/>
  <c r="I212" i="8" s="1"/>
  <c r="J212" i="8" s="1"/>
  <c r="K212" i="8" s="1"/>
  <c r="L212" i="8" s="1"/>
  <c r="M212" i="8" s="1"/>
  <c r="N212" i="8" s="1"/>
  <c r="F213" i="8"/>
  <c r="G213" i="8" s="1"/>
  <c r="H213" i="8" s="1"/>
  <c r="I213" i="8" s="1"/>
  <c r="J213" i="8" s="1"/>
  <c r="K213" i="8" s="1"/>
  <c r="L213" i="8" s="1"/>
  <c r="M213" i="8" s="1"/>
  <c r="N213" i="8" s="1"/>
  <c r="F214" i="8"/>
  <c r="G214" i="8" s="1"/>
  <c r="H214" i="8" s="1"/>
  <c r="I214" i="8" s="1"/>
  <c r="J214" i="8" s="1"/>
  <c r="K214" i="8" s="1"/>
  <c r="L214" i="8" s="1"/>
  <c r="M214" i="8" s="1"/>
  <c r="N214" i="8" s="1"/>
  <c r="F215" i="8"/>
  <c r="G215" i="8" s="1"/>
  <c r="H215" i="8" s="1"/>
  <c r="I215" i="8" s="1"/>
  <c r="J215" i="8" s="1"/>
  <c r="K215" i="8" s="1"/>
  <c r="L215" i="8" s="1"/>
  <c r="M215" i="8" s="1"/>
  <c r="N215" i="8" s="1"/>
  <c r="F216" i="8"/>
  <c r="G216" i="8" s="1"/>
  <c r="H216" i="8" s="1"/>
  <c r="I216" i="8" s="1"/>
  <c r="J216" i="8" s="1"/>
  <c r="K216" i="8" s="1"/>
  <c r="L216" i="8" s="1"/>
  <c r="M216" i="8" s="1"/>
  <c r="N216" i="8" s="1"/>
  <c r="F217" i="8"/>
  <c r="G217" i="8" s="1"/>
  <c r="H217" i="8" s="1"/>
  <c r="I217" i="8" s="1"/>
  <c r="J217" i="8" s="1"/>
  <c r="K217" i="8" s="1"/>
  <c r="L217" i="8" s="1"/>
  <c r="M217" i="8" s="1"/>
  <c r="N217" i="8" s="1"/>
  <c r="F218" i="8"/>
  <c r="G218" i="8" s="1"/>
  <c r="H218" i="8" s="1"/>
  <c r="I218" i="8" s="1"/>
  <c r="J218" i="8" s="1"/>
  <c r="K218" i="8" s="1"/>
  <c r="L218" i="8" s="1"/>
  <c r="M218" i="8" s="1"/>
  <c r="N218" i="8" s="1"/>
  <c r="F219" i="8"/>
  <c r="G219" i="8" s="1"/>
  <c r="H219" i="8" s="1"/>
  <c r="I219" i="8" s="1"/>
  <c r="J219" i="8" s="1"/>
  <c r="K219" i="8" s="1"/>
  <c r="L219" i="8" s="1"/>
  <c r="M219" i="8" s="1"/>
  <c r="N219" i="8" s="1"/>
  <c r="F220" i="8"/>
  <c r="G220" i="8" s="1"/>
  <c r="H220" i="8" s="1"/>
  <c r="I220" i="8" s="1"/>
  <c r="J220" i="8" s="1"/>
  <c r="K220" i="8" s="1"/>
  <c r="L220" i="8" s="1"/>
  <c r="M220" i="8" s="1"/>
  <c r="N220" i="8" s="1"/>
  <c r="F221" i="8"/>
  <c r="G221" i="8" s="1"/>
  <c r="H221" i="8" s="1"/>
  <c r="I221" i="8" s="1"/>
  <c r="J221" i="8" s="1"/>
  <c r="K221" i="8" s="1"/>
  <c r="L221" i="8" s="1"/>
  <c r="M221" i="8" s="1"/>
  <c r="N221" i="8" s="1"/>
  <c r="F222" i="8"/>
  <c r="G222" i="8" s="1"/>
  <c r="H222" i="8" s="1"/>
  <c r="I222" i="8" s="1"/>
  <c r="J222" i="8" s="1"/>
  <c r="K222" i="8" s="1"/>
  <c r="L222" i="8" s="1"/>
  <c r="M222" i="8" s="1"/>
  <c r="N222" i="8" s="1"/>
  <c r="F223" i="8"/>
  <c r="G223" i="8" s="1"/>
  <c r="H223" i="8" s="1"/>
  <c r="I223" i="8" s="1"/>
  <c r="J223" i="8" s="1"/>
  <c r="K223" i="8" s="1"/>
  <c r="L223" i="8" s="1"/>
  <c r="M223" i="8" s="1"/>
  <c r="N223" i="8" s="1"/>
  <c r="F224" i="8"/>
  <c r="G224" i="8" s="1"/>
  <c r="H224" i="8" s="1"/>
  <c r="I224" i="8" s="1"/>
  <c r="J224" i="8" s="1"/>
  <c r="K224" i="8" s="1"/>
  <c r="L224" i="8" s="1"/>
  <c r="M224" i="8" s="1"/>
  <c r="N224" i="8" s="1"/>
  <c r="F225" i="8"/>
  <c r="G225" i="8" s="1"/>
  <c r="H225" i="8" s="1"/>
  <c r="I225" i="8" s="1"/>
  <c r="J225" i="8" s="1"/>
  <c r="K225" i="8" s="1"/>
  <c r="L225" i="8" s="1"/>
  <c r="M225" i="8" s="1"/>
  <c r="N225" i="8" s="1"/>
  <c r="F226" i="8"/>
  <c r="G226" i="8" s="1"/>
  <c r="H226" i="8" s="1"/>
  <c r="I226" i="8" s="1"/>
  <c r="J226" i="8" s="1"/>
  <c r="K226" i="8" s="1"/>
  <c r="L226" i="8" s="1"/>
  <c r="M226" i="8" s="1"/>
  <c r="N226" i="8" s="1"/>
  <c r="F227" i="8"/>
  <c r="G227" i="8" s="1"/>
  <c r="H227" i="8" s="1"/>
  <c r="I227" i="8" s="1"/>
  <c r="J227" i="8" s="1"/>
  <c r="K227" i="8" s="1"/>
  <c r="L227" i="8" s="1"/>
  <c r="M227" i="8" s="1"/>
  <c r="N227" i="8" s="1"/>
  <c r="F228" i="8"/>
  <c r="G228" i="8" s="1"/>
  <c r="H228" i="8" s="1"/>
  <c r="I228" i="8" s="1"/>
  <c r="J228" i="8" s="1"/>
  <c r="K228" i="8" s="1"/>
  <c r="L228" i="8" s="1"/>
  <c r="M228" i="8" s="1"/>
  <c r="N228" i="8" s="1"/>
  <c r="F229" i="8"/>
  <c r="G229" i="8" s="1"/>
  <c r="H229" i="8" s="1"/>
  <c r="I229" i="8" s="1"/>
  <c r="J229" i="8" s="1"/>
  <c r="K229" i="8" s="1"/>
  <c r="L229" i="8" s="1"/>
  <c r="M229" i="8" s="1"/>
  <c r="N229" i="8" s="1"/>
  <c r="F230" i="8"/>
  <c r="G230" i="8" s="1"/>
  <c r="H230" i="8" s="1"/>
  <c r="I230" i="8" s="1"/>
  <c r="J230" i="8" s="1"/>
  <c r="K230" i="8" s="1"/>
  <c r="L230" i="8" s="1"/>
  <c r="M230" i="8" s="1"/>
  <c r="N230" i="8" s="1"/>
  <c r="F231" i="8"/>
  <c r="G231" i="8" s="1"/>
  <c r="H231" i="8" s="1"/>
  <c r="I231" i="8" s="1"/>
  <c r="J231" i="8" s="1"/>
  <c r="K231" i="8" s="1"/>
  <c r="L231" i="8" s="1"/>
  <c r="M231" i="8" s="1"/>
  <c r="N231" i="8" s="1"/>
  <c r="F232" i="8"/>
  <c r="G232" i="8" s="1"/>
  <c r="H232" i="8" s="1"/>
  <c r="I232" i="8" s="1"/>
  <c r="J232" i="8" s="1"/>
  <c r="K232" i="8" s="1"/>
  <c r="L232" i="8" s="1"/>
  <c r="M232" i="8" s="1"/>
  <c r="N232" i="8" s="1"/>
  <c r="F233" i="8"/>
  <c r="G233" i="8" s="1"/>
  <c r="H233" i="8" s="1"/>
  <c r="I233" i="8" s="1"/>
  <c r="J233" i="8" s="1"/>
  <c r="K233" i="8" s="1"/>
  <c r="L233" i="8" s="1"/>
  <c r="M233" i="8" s="1"/>
  <c r="N233" i="8" s="1"/>
  <c r="F234" i="8"/>
  <c r="G234" i="8" s="1"/>
  <c r="H234" i="8" s="1"/>
  <c r="I234" i="8" s="1"/>
  <c r="J234" i="8" s="1"/>
  <c r="K234" i="8" s="1"/>
  <c r="L234" i="8" s="1"/>
  <c r="M234" i="8" s="1"/>
  <c r="N234" i="8" s="1"/>
  <c r="F235" i="8"/>
  <c r="G235" i="8" s="1"/>
  <c r="H235" i="8" s="1"/>
  <c r="I235" i="8" s="1"/>
  <c r="J235" i="8" s="1"/>
  <c r="K235" i="8" s="1"/>
  <c r="L235" i="8" s="1"/>
  <c r="M235" i="8" s="1"/>
  <c r="N235" i="8" s="1"/>
  <c r="F236" i="8"/>
  <c r="G236" i="8" s="1"/>
  <c r="H236" i="8" s="1"/>
  <c r="I236" i="8" s="1"/>
  <c r="J236" i="8" s="1"/>
  <c r="K236" i="8" s="1"/>
  <c r="L236" i="8" s="1"/>
  <c r="M236" i="8" s="1"/>
  <c r="N236" i="8" s="1"/>
  <c r="F237" i="8"/>
  <c r="G237" i="8" s="1"/>
  <c r="H237" i="8" s="1"/>
  <c r="I237" i="8" s="1"/>
  <c r="J237" i="8" s="1"/>
  <c r="K237" i="8" s="1"/>
  <c r="L237" i="8" s="1"/>
  <c r="M237" i="8" s="1"/>
  <c r="N237" i="8" s="1"/>
  <c r="F238" i="8"/>
  <c r="G238" i="8" s="1"/>
  <c r="H238" i="8" s="1"/>
  <c r="I238" i="8" s="1"/>
  <c r="J238" i="8" s="1"/>
  <c r="K238" i="8" s="1"/>
  <c r="L238" i="8" s="1"/>
  <c r="M238" i="8" s="1"/>
  <c r="N238" i="8" s="1"/>
  <c r="F239" i="8"/>
  <c r="G239" i="8" s="1"/>
  <c r="H239" i="8" s="1"/>
  <c r="I239" i="8" s="1"/>
  <c r="J239" i="8" s="1"/>
  <c r="K239" i="8" s="1"/>
  <c r="L239" i="8" s="1"/>
  <c r="M239" i="8" s="1"/>
  <c r="N239" i="8" s="1"/>
  <c r="F240" i="8"/>
  <c r="G240" i="8" s="1"/>
  <c r="H240" i="8" s="1"/>
  <c r="I240" i="8" s="1"/>
  <c r="J240" i="8" s="1"/>
  <c r="K240" i="8" s="1"/>
  <c r="L240" i="8" s="1"/>
  <c r="M240" i="8" s="1"/>
  <c r="N240" i="8" s="1"/>
  <c r="F241" i="8"/>
  <c r="G241" i="8" s="1"/>
  <c r="H241" i="8" s="1"/>
  <c r="I241" i="8" s="1"/>
  <c r="J241" i="8" s="1"/>
  <c r="K241" i="8" s="1"/>
  <c r="L241" i="8" s="1"/>
  <c r="M241" i="8" s="1"/>
  <c r="N241" i="8" s="1"/>
  <c r="F242" i="8"/>
  <c r="G242" i="8" s="1"/>
  <c r="H242" i="8" s="1"/>
  <c r="I242" i="8" s="1"/>
  <c r="J242" i="8" s="1"/>
  <c r="K242" i="8" s="1"/>
  <c r="L242" i="8" s="1"/>
  <c r="M242" i="8" s="1"/>
  <c r="N242" i="8" s="1"/>
  <c r="F243" i="8"/>
  <c r="G243" i="8" s="1"/>
  <c r="H243" i="8" s="1"/>
  <c r="I243" i="8" s="1"/>
  <c r="J243" i="8" s="1"/>
  <c r="K243" i="8" s="1"/>
  <c r="L243" i="8" s="1"/>
  <c r="M243" i="8" s="1"/>
  <c r="N243" i="8" s="1"/>
  <c r="F244" i="8"/>
  <c r="G244" i="8" s="1"/>
  <c r="H244" i="8" s="1"/>
  <c r="I244" i="8" s="1"/>
  <c r="J244" i="8" s="1"/>
  <c r="K244" i="8" s="1"/>
  <c r="L244" i="8" s="1"/>
  <c r="M244" i="8" s="1"/>
  <c r="N244" i="8" s="1"/>
  <c r="F245" i="8"/>
  <c r="G245" i="8" s="1"/>
  <c r="H245" i="8" s="1"/>
  <c r="I245" i="8" s="1"/>
  <c r="J245" i="8" s="1"/>
  <c r="K245" i="8" s="1"/>
  <c r="L245" i="8" s="1"/>
  <c r="M245" i="8" s="1"/>
  <c r="N245" i="8" s="1"/>
  <c r="F246" i="8"/>
  <c r="G246" i="8" s="1"/>
  <c r="H246" i="8" s="1"/>
  <c r="I246" i="8" s="1"/>
  <c r="J246" i="8" s="1"/>
  <c r="K246" i="8" s="1"/>
  <c r="L246" i="8" s="1"/>
  <c r="M246" i="8" s="1"/>
  <c r="N246" i="8" s="1"/>
  <c r="F247" i="8"/>
  <c r="G247" i="8" s="1"/>
  <c r="H247" i="8" s="1"/>
  <c r="I247" i="8" s="1"/>
  <c r="J247" i="8" s="1"/>
  <c r="K247" i="8" s="1"/>
  <c r="L247" i="8" s="1"/>
  <c r="M247" i="8" s="1"/>
  <c r="N247" i="8" s="1"/>
  <c r="F248" i="8"/>
  <c r="G248" i="8" s="1"/>
  <c r="H248" i="8" s="1"/>
  <c r="I248" i="8" s="1"/>
  <c r="J248" i="8" s="1"/>
  <c r="K248" i="8" s="1"/>
  <c r="L248" i="8" s="1"/>
  <c r="M248" i="8" s="1"/>
  <c r="N248" i="8" s="1"/>
  <c r="F249" i="8"/>
  <c r="G249" i="8" s="1"/>
  <c r="H249" i="8" s="1"/>
  <c r="I249" i="8" s="1"/>
  <c r="J249" i="8" s="1"/>
  <c r="K249" i="8" s="1"/>
  <c r="L249" i="8" s="1"/>
  <c r="M249" i="8" s="1"/>
  <c r="N249" i="8" s="1"/>
  <c r="F250" i="8"/>
  <c r="G250" i="8" s="1"/>
  <c r="H250" i="8" s="1"/>
  <c r="I250" i="8" s="1"/>
  <c r="J250" i="8" s="1"/>
  <c r="K250" i="8" s="1"/>
  <c r="L250" i="8" s="1"/>
  <c r="M250" i="8" s="1"/>
  <c r="N250" i="8" s="1"/>
  <c r="F251" i="8"/>
  <c r="G251" i="8" s="1"/>
  <c r="H251" i="8" s="1"/>
  <c r="I251" i="8" s="1"/>
  <c r="J251" i="8" s="1"/>
  <c r="K251" i="8" s="1"/>
  <c r="L251" i="8" s="1"/>
  <c r="M251" i="8" s="1"/>
  <c r="N251" i="8" s="1"/>
  <c r="F252" i="8"/>
  <c r="G252" i="8" s="1"/>
  <c r="H252" i="8" s="1"/>
  <c r="I252" i="8" s="1"/>
  <c r="J252" i="8" s="1"/>
  <c r="K252" i="8" s="1"/>
  <c r="L252" i="8" s="1"/>
  <c r="M252" i="8" s="1"/>
  <c r="N252" i="8" s="1"/>
  <c r="F253" i="8"/>
  <c r="G253" i="8" s="1"/>
  <c r="H253" i="8" s="1"/>
  <c r="I253" i="8" s="1"/>
  <c r="J253" i="8" s="1"/>
  <c r="K253" i="8" s="1"/>
  <c r="L253" i="8" s="1"/>
  <c r="M253" i="8" s="1"/>
  <c r="N253" i="8" s="1"/>
  <c r="F254" i="8"/>
  <c r="G254" i="8" s="1"/>
  <c r="H254" i="8" s="1"/>
  <c r="I254" i="8" s="1"/>
  <c r="J254" i="8" s="1"/>
  <c r="K254" i="8" s="1"/>
  <c r="L254" i="8" s="1"/>
  <c r="M254" i="8" s="1"/>
  <c r="N254" i="8" s="1"/>
  <c r="F255" i="8"/>
  <c r="G255" i="8" s="1"/>
  <c r="H255" i="8" s="1"/>
  <c r="I255" i="8" s="1"/>
  <c r="J255" i="8" s="1"/>
  <c r="K255" i="8" s="1"/>
  <c r="L255" i="8" s="1"/>
  <c r="M255" i="8" s="1"/>
  <c r="N255" i="8" s="1"/>
  <c r="F256" i="8"/>
  <c r="G256" i="8" s="1"/>
  <c r="H256" i="8" s="1"/>
  <c r="I256" i="8" s="1"/>
  <c r="J256" i="8" s="1"/>
  <c r="K256" i="8" s="1"/>
  <c r="L256" i="8" s="1"/>
  <c r="M256" i="8" s="1"/>
  <c r="N256" i="8" s="1"/>
  <c r="F257" i="8"/>
  <c r="G257" i="8" s="1"/>
  <c r="H257" i="8" s="1"/>
  <c r="I257" i="8" s="1"/>
  <c r="J257" i="8" s="1"/>
  <c r="K257" i="8" s="1"/>
  <c r="L257" i="8" s="1"/>
  <c r="M257" i="8" s="1"/>
  <c r="N257" i="8" s="1"/>
  <c r="F258" i="8"/>
  <c r="G258" i="8" s="1"/>
  <c r="H258" i="8" s="1"/>
  <c r="I258" i="8" s="1"/>
  <c r="J258" i="8" s="1"/>
  <c r="K258" i="8" s="1"/>
  <c r="L258" i="8" s="1"/>
  <c r="M258" i="8" s="1"/>
  <c r="N258" i="8" s="1"/>
  <c r="F259" i="8"/>
  <c r="G259" i="8" s="1"/>
  <c r="H259" i="8" s="1"/>
  <c r="I259" i="8" s="1"/>
  <c r="J259" i="8" s="1"/>
  <c r="K259" i="8" s="1"/>
  <c r="L259" i="8" s="1"/>
  <c r="M259" i="8" s="1"/>
  <c r="N259" i="8" s="1"/>
  <c r="F260" i="8"/>
  <c r="G260" i="8" s="1"/>
  <c r="H260" i="8" s="1"/>
  <c r="I260" i="8" s="1"/>
  <c r="J260" i="8" s="1"/>
  <c r="K260" i="8" s="1"/>
  <c r="L260" i="8" s="1"/>
  <c r="M260" i="8" s="1"/>
  <c r="N260" i="8" s="1"/>
  <c r="F261" i="8"/>
  <c r="G261" i="8" s="1"/>
  <c r="H261" i="8" s="1"/>
  <c r="I261" i="8" s="1"/>
  <c r="J261" i="8" s="1"/>
  <c r="K261" i="8" s="1"/>
  <c r="L261" i="8" s="1"/>
  <c r="M261" i="8" s="1"/>
  <c r="N261" i="8" s="1"/>
  <c r="F262" i="8"/>
  <c r="G262" i="8" s="1"/>
  <c r="H262" i="8" s="1"/>
  <c r="I262" i="8" s="1"/>
  <c r="J262" i="8" s="1"/>
  <c r="K262" i="8" s="1"/>
  <c r="L262" i="8" s="1"/>
  <c r="M262" i="8" s="1"/>
  <c r="N262" i="8" s="1"/>
  <c r="F263" i="8"/>
  <c r="G263" i="8" s="1"/>
  <c r="H263" i="8" s="1"/>
  <c r="I263" i="8" s="1"/>
  <c r="J263" i="8" s="1"/>
  <c r="K263" i="8" s="1"/>
  <c r="L263" i="8" s="1"/>
  <c r="M263" i="8" s="1"/>
  <c r="N263" i="8" s="1"/>
  <c r="F264" i="8"/>
  <c r="G264" i="8" s="1"/>
  <c r="H264" i="8" s="1"/>
  <c r="I264" i="8" s="1"/>
  <c r="J264" i="8" s="1"/>
  <c r="K264" i="8" s="1"/>
  <c r="L264" i="8" s="1"/>
  <c r="M264" i="8" s="1"/>
  <c r="N264" i="8" s="1"/>
  <c r="F265" i="8"/>
  <c r="G265" i="8" s="1"/>
  <c r="H265" i="8" s="1"/>
  <c r="I265" i="8" s="1"/>
  <c r="J265" i="8" s="1"/>
  <c r="K265" i="8" s="1"/>
  <c r="L265" i="8" s="1"/>
  <c r="M265" i="8" s="1"/>
  <c r="N265" i="8" s="1"/>
  <c r="F266" i="8"/>
  <c r="G266" i="8" s="1"/>
  <c r="H266" i="8" s="1"/>
  <c r="I266" i="8" s="1"/>
  <c r="J266" i="8" s="1"/>
  <c r="K266" i="8" s="1"/>
  <c r="L266" i="8" s="1"/>
  <c r="M266" i="8" s="1"/>
  <c r="N266" i="8" s="1"/>
  <c r="F267" i="8"/>
  <c r="G267" i="8" s="1"/>
  <c r="H267" i="8" s="1"/>
  <c r="I267" i="8" s="1"/>
  <c r="J267" i="8" s="1"/>
  <c r="K267" i="8" s="1"/>
  <c r="L267" i="8" s="1"/>
  <c r="M267" i="8" s="1"/>
  <c r="N267" i="8" s="1"/>
  <c r="F268" i="8"/>
  <c r="G268" i="8" s="1"/>
  <c r="H268" i="8" s="1"/>
  <c r="I268" i="8" s="1"/>
  <c r="J268" i="8" s="1"/>
  <c r="K268" i="8" s="1"/>
  <c r="L268" i="8" s="1"/>
  <c r="M268" i="8" s="1"/>
  <c r="N268" i="8" s="1"/>
  <c r="F269" i="8"/>
  <c r="G269" i="8" s="1"/>
  <c r="H269" i="8" s="1"/>
  <c r="I269" i="8" s="1"/>
  <c r="J269" i="8" s="1"/>
  <c r="K269" i="8" s="1"/>
  <c r="L269" i="8" s="1"/>
  <c r="M269" i="8" s="1"/>
  <c r="N269" i="8" s="1"/>
  <c r="F270" i="8"/>
  <c r="G270" i="8" s="1"/>
  <c r="H270" i="8" s="1"/>
  <c r="I270" i="8" s="1"/>
  <c r="J270" i="8" s="1"/>
  <c r="K270" i="8" s="1"/>
  <c r="L270" i="8" s="1"/>
  <c r="M270" i="8" s="1"/>
  <c r="N270" i="8" s="1"/>
  <c r="F271" i="8"/>
  <c r="G271" i="8" s="1"/>
  <c r="H271" i="8" s="1"/>
  <c r="I271" i="8" s="1"/>
  <c r="J271" i="8" s="1"/>
  <c r="K271" i="8" s="1"/>
  <c r="L271" i="8" s="1"/>
  <c r="M271" i="8" s="1"/>
  <c r="N271" i="8" s="1"/>
  <c r="F272" i="8"/>
  <c r="G272" i="8" s="1"/>
  <c r="H272" i="8" s="1"/>
  <c r="I272" i="8" s="1"/>
  <c r="J272" i="8" s="1"/>
  <c r="K272" i="8" s="1"/>
  <c r="L272" i="8" s="1"/>
  <c r="M272" i="8" s="1"/>
  <c r="N272" i="8" s="1"/>
  <c r="F273" i="8"/>
  <c r="G273" i="8" s="1"/>
  <c r="H273" i="8" s="1"/>
  <c r="I273" i="8" s="1"/>
  <c r="J273" i="8" s="1"/>
  <c r="K273" i="8" s="1"/>
  <c r="L273" i="8" s="1"/>
  <c r="M273" i="8" s="1"/>
  <c r="N273" i="8" s="1"/>
  <c r="F274" i="8"/>
  <c r="G274" i="8" s="1"/>
  <c r="H274" i="8" s="1"/>
  <c r="I274" i="8" s="1"/>
  <c r="J274" i="8" s="1"/>
  <c r="K274" i="8" s="1"/>
  <c r="L274" i="8" s="1"/>
  <c r="M274" i="8" s="1"/>
  <c r="N274" i="8" s="1"/>
  <c r="F275" i="8"/>
  <c r="G275" i="8" s="1"/>
  <c r="H275" i="8" s="1"/>
  <c r="I275" i="8" s="1"/>
  <c r="J275" i="8" s="1"/>
  <c r="K275" i="8" s="1"/>
  <c r="L275" i="8" s="1"/>
  <c r="M275" i="8" s="1"/>
  <c r="N275" i="8" s="1"/>
  <c r="F276" i="8"/>
  <c r="G276" i="8" s="1"/>
  <c r="H276" i="8" s="1"/>
  <c r="I276" i="8" s="1"/>
  <c r="J276" i="8" s="1"/>
  <c r="K276" i="8" s="1"/>
  <c r="L276" i="8" s="1"/>
  <c r="M276" i="8" s="1"/>
  <c r="N276" i="8" s="1"/>
  <c r="F277" i="8"/>
  <c r="G277" i="8" s="1"/>
  <c r="H277" i="8" s="1"/>
  <c r="I277" i="8" s="1"/>
  <c r="J277" i="8" s="1"/>
  <c r="K277" i="8" s="1"/>
  <c r="L277" i="8" s="1"/>
  <c r="M277" i="8" s="1"/>
  <c r="N277" i="8" s="1"/>
  <c r="F278" i="8"/>
  <c r="G278" i="8" s="1"/>
  <c r="H278" i="8" s="1"/>
  <c r="I278" i="8" s="1"/>
  <c r="J278" i="8" s="1"/>
  <c r="K278" i="8" s="1"/>
  <c r="L278" i="8" s="1"/>
  <c r="M278" i="8" s="1"/>
  <c r="N278" i="8" s="1"/>
  <c r="F279" i="8"/>
  <c r="G279" i="8" s="1"/>
  <c r="H279" i="8" s="1"/>
  <c r="I279" i="8" s="1"/>
  <c r="J279" i="8" s="1"/>
  <c r="K279" i="8" s="1"/>
  <c r="L279" i="8" s="1"/>
  <c r="M279" i="8" s="1"/>
  <c r="N279" i="8" s="1"/>
  <c r="F280" i="8"/>
  <c r="G280" i="8" s="1"/>
  <c r="H280" i="8" s="1"/>
  <c r="I280" i="8" s="1"/>
  <c r="J280" i="8" s="1"/>
  <c r="K280" i="8" s="1"/>
  <c r="L280" i="8" s="1"/>
  <c r="M280" i="8" s="1"/>
  <c r="N280" i="8" s="1"/>
  <c r="F281" i="8"/>
  <c r="G281" i="8" s="1"/>
  <c r="H281" i="8" s="1"/>
  <c r="I281" i="8" s="1"/>
  <c r="J281" i="8" s="1"/>
  <c r="K281" i="8" s="1"/>
  <c r="L281" i="8" s="1"/>
  <c r="M281" i="8" s="1"/>
  <c r="N281" i="8" s="1"/>
  <c r="F282" i="8"/>
  <c r="G282" i="8" s="1"/>
  <c r="H282" i="8" s="1"/>
  <c r="I282" i="8" s="1"/>
  <c r="J282" i="8" s="1"/>
  <c r="K282" i="8" s="1"/>
  <c r="L282" i="8" s="1"/>
  <c r="M282" i="8" s="1"/>
  <c r="N282" i="8" s="1"/>
  <c r="F283" i="8"/>
  <c r="G283" i="8" s="1"/>
  <c r="H283" i="8" s="1"/>
  <c r="I283" i="8" s="1"/>
  <c r="J283" i="8" s="1"/>
  <c r="K283" i="8" s="1"/>
  <c r="L283" i="8" s="1"/>
  <c r="M283" i="8" s="1"/>
  <c r="N283" i="8" s="1"/>
  <c r="F284" i="8"/>
  <c r="G284" i="8" s="1"/>
  <c r="H284" i="8" s="1"/>
  <c r="I284" i="8" s="1"/>
  <c r="J284" i="8" s="1"/>
  <c r="K284" i="8" s="1"/>
  <c r="L284" i="8" s="1"/>
  <c r="M284" i="8" s="1"/>
  <c r="N284" i="8" s="1"/>
  <c r="F285" i="8"/>
  <c r="G285" i="8" s="1"/>
  <c r="H285" i="8" s="1"/>
  <c r="I285" i="8" s="1"/>
  <c r="J285" i="8" s="1"/>
  <c r="K285" i="8" s="1"/>
  <c r="L285" i="8" s="1"/>
  <c r="M285" i="8" s="1"/>
  <c r="N285" i="8" s="1"/>
  <c r="F286" i="8"/>
  <c r="G286" i="8" s="1"/>
  <c r="H286" i="8" s="1"/>
  <c r="I286" i="8" s="1"/>
  <c r="J286" i="8" s="1"/>
  <c r="K286" i="8" s="1"/>
  <c r="L286" i="8" s="1"/>
  <c r="M286" i="8" s="1"/>
  <c r="N286" i="8" s="1"/>
  <c r="F287" i="8"/>
  <c r="G287" i="8" s="1"/>
  <c r="H287" i="8" s="1"/>
  <c r="I287" i="8" s="1"/>
  <c r="J287" i="8" s="1"/>
  <c r="K287" i="8" s="1"/>
  <c r="L287" i="8" s="1"/>
  <c r="M287" i="8" s="1"/>
  <c r="N287" i="8" s="1"/>
  <c r="F288" i="8"/>
  <c r="G288" i="8" s="1"/>
  <c r="H288" i="8" s="1"/>
  <c r="I288" i="8" s="1"/>
  <c r="J288" i="8" s="1"/>
  <c r="K288" i="8" s="1"/>
  <c r="L288" i="8" s="1"/>
  <c r="M288" i="8" s="1"/>
  <c r="N288" i="8" s="1"/>
  <c r="F289" i="8"/>
  <c r="G289" i="8" s="1"/>
  <c r="H289" i="8" s="1"/>
  <c r="I289" i="8" s="1"/>
  <c r="J289" i="8" s="1"/>
  <c r="K289" i="8" s="1"/>
  <c r="L289" i="8" s="1"/>
  <c r="M289" i="8" s="1"/>
  <c r="N289" i="8" s="1"/>
  <c r="F290" i="8"/>
  <c r="G290" i="8" s="1"/>
  <c r="H290" i="8" s="1"/>
  <c r="I290" i="8" s="1"/>
  <c r="J290" i="8" s="1"/>
  <c r="K290" i="8" s="1"/>
  <c r="L290" i="8" s="1"/>
  <c r="M290" i="8" s="1"/>
  <c r="N290" i="8" s="1"/>
  <c r="F291" i="8"/>
  <c r="G291" i="8" s="1"/>
  <c r="H291" i="8" s="1"/>
  <c r="I291" i="8" s="1"/>
  <c r="J291" i="8" s="1"/>
  <c r="K291" i="8" s="1"/>
  <c r="L291" i="8" s="1"/>
  <c r="M291" i="8" s="1"/>
  <c r="N291" i="8" s="1"/>
  <c r="F292" i="8"/>
  <c r="G292" i="8" s="1"/>
  <c r="H292" i="8" s="1"/>
  <c r="I292" i="8" s="1"/>
  <c r="J292" i="8" s="1"/>
  <c r="K292" i="8" s="1"/>
  <c r="L292" i="8" s="1"/>
  <c r="M292" i="8" s="1"/>
  <c r="N292" i="8" s="1"/>
  <c r="F293" i="8"/>
  <c r="G293" i="8" s="1"/>
  <c r="H293" i="8" s="1"/>
  <c r="I293" i="8" s="1"/>
  <c r="J293" i="8" s="1"/>
  <c r="K293" i="8" s="1"/>
  <c r="L293" i="8" s="1"/>
  <c r="M293" i="8" s="1"/>
  <c r="N293" i="8" s="1"/>
  <c r="F294" i="8"/>
  <c r="G294" i="8" s="1"/>
  <c r="H294" i="8" s="1"/>
  <c r="I294" i="8" s="1"/>
  <c r="J294" i="8" s="1"/>
  <c r="K294" i="8" s="1"/>
  <c r="L294" i="8" s="1"/>
  <c r="M294" i="8" s="1"/>
  <c r="N294" i="8" s="1"/>
  <c r="F295" i="8"/>
  <c r="G295" i="8" s="1"/>
  <c r="H295" i="8" s="1"/>
  <c r="I295" i="8" s="1"/>
  <c r="J295" i="8" s="1"/>
  <c r="K295" i="8" s="1"/>
  <c r="L295" i="8" s="1"/>
  <c r="M295" i="8" s="1"/>
  <c r="N295" i="8" s="1"/>
  <c r="F296" i="8"/>
  <c r="G296" i="8" s="1"/>
  <c r="H296" i="8" s="1"/>
  <c r="I296" i="8" s="1"/>
  <c r="J296" i="8" s="1"/>
  <c r="K296" i="8" s="1"/>
  <c r="L296" i="8" s="1"/>
  <c r="M296" i="8" s="1"/>
  <c r="N296" i="8" s="1"/>
  <c r="F297" i="8"/>
  <c r="G297" i="8" s="1"/>
  <c r="H297" i="8" s="1"/>
  <c r="I297" i="8" s="1"/>
  <c r="J297" i="8" s="1"/>
  <c r="K297" i="8" s="1"/>
  <c r="L297" i="8" s="1"/>
  <c r="M297" i="8" s="1"/>
  <c r="N297" i="8" s="1"/>
  <c r="F298" i="8"/>
  <c r="G298" i="8" s="1"/>
  <c r="H298" i="8" s="1"/>
  <c r="I298" i="8" s="1"/>
  <c r="J298" i="8" s="1"/>
  <c r="K298" i="8" s="1"/>
  <c r="L298" i="8" s="1"/>
  <c r="M298" i="8" s="1"/>
  <c r="N298" i="8" s="1"/>
  <c r="F299" i="8"/>
  <c r="G299" i="8" s="1"/>
  <c r="H299" i="8" s="1"/>
  <c r="I299" i="8" s="1"/>
  <c r="J299" i="8" s="1"/>
  <c r="K299" i="8" s="1"/>
  <c r="L299" i="8" s="1"/>
  <c r="M299" i="8" s="1"/>
  <c r="N299" i="8" s="1"/>
  <c r="F300" i="8"/>
  <c r="G300" i="8" s="1"/>
  <c r="H300" i="8" s="1"/>
  <c r="I300" i="8" s="1"/>
  <c r="J300" i="8" s="1"/>
  <c r="K300" i="8" s="1"/>
  <c r="L300" i="8" s="1"/>
  <c r="M300" i="8" s="1"/>
  <c r="N300" i="8" s="1"/>
  <c r="F301" i="8"/>
  <c r="G301" i="8" s="1"/>
  <c r="H301" i="8" s="1"/>
  <c r="I301" i="8" s="1"/>
  <c r="J301" i="8" s="1"/>
  <c r="K301" i="8" s="1"/>
  <c r="L301" i="8" s="1"/>
  <c r="M301" i="8" s="1"/>
  <c r="N301" i="8" s="1"/>
  <c r="F302" i="8"/>
  <c r="G302" i="8" s="1"/>
  <c r="H302" i="8" s="1"/>
  <c r="I302" i="8" s="1"/>
  <c r="J302" i="8" s="1"/>
  <c r="K302" i="8" s="1"/>
  <c r="L302" i="8" s="1"/>
  <c r="M302" i="8" s="1"/>
  <c r="N302" i="8" s="1"/>
  <c r="F303" i="8"/>
  <c r="G303" i="8" s="1"/>
  <c r="H303" i="8" s="1"/>
  <c r="I303" i="8" s="1"/>
  <c r="J303" i="8" s="1"/>
  <c r="K303" i="8" s="1"/>
  <c r="L303" i="8" s="1"/>
  <c r="M303" i="8" s="1"/>
  <c r="N303" i="8" s="1"/>
  <c r="F304" i="8"/>
  <c r="G304" i="8" s="1"/>
  <c r="H304" i="8" s="1"/>
  <c r="I304" i="8" s="1"/>
  <c r="J304" i="8" s="1"/>
  <c r="K304" i="8" s="1"/>
  <c r="L304" i="8" s="1"/>
  <c r="M304" i="8" s="1"/>
  <c r="N304" i="8" s="1"/>
  <c r="F305" i="8"/>
  <c r="G305" i="8" s="1"/>
  <c r="H305" i="8" s="1"/>
  <c r="I305" i="8" s="1"/>
  <c r="J305" i="8" s="1"/>
  <c r="K305" i="8" s="1"/>
  <c r="L305" i="8" s="1"/>
  <c r="M305" i="8" s="1"/>
  <c r="N305" i="8" s="1"/>
  <c r="F306" i="8"/>
  <c r="G306" i="8" s="1"/>
  <c r="H306" i="8" s="1"/>
  <c r="I306" i="8" s="1"/>
  <c r="J306" i="8" s="1"/>
  <c r="K306" i="8" s="1"/>
  <c r="L306" i="8" s="1"/>
  <c r="M306" i="8" s="1"/>
  <c r="N306" i="8" s="1"/>
  <c r="F307" i="8"/>
  <c r="G307" i="8" s="1"/>
  <c r="H307" i="8" s="1"/>
  <c r="I307" i="8" s="1"/>
  <c r="J307" i="8" s="1"/>
  <c r="K307" i="8" s="1"/>
  <c r="L307" i="8" s="1"/>
  <c r="M307" i="8" s="1"/>
  <c r="N307" i="8" s="1"/>
  <c r="F308" i="8"/>
  <c r="G308" i="8" s="1"/>
  <c r="H308" i="8" s="1"/>
  <c r="I308" i="8" s="1"/>
  <c r="J308" i="8" s="1"/>
  <c r="K308" i="8" s="1"/>
  <c r="L308" i="8" s="1"/>
  <c r="M308" i="8" s="1"/>
  <c r="N308" i="8" s="1"/>
  <c r="F309" i="8"/>
  <c r="G309" i="8" s="1"/>
  <c r="H309" i="8" s="1"/>
  <c r="I309" i="8" s="1"/>
  <c r="J309" i="8" s="1"/>
  <c r="K309" i="8" s="1"/>
  <c r="L309" i="8" s="1"/>
  <c r="M309" i="8" s="1"/>
  <c r="N309" i="8" s="1"/>
  <c r="F310" i="8"/>
  <c r="G310" i="8" s="1"/>
  <c r="H310" i="8" s="1"/>
  <c r="I310" i="8" s="1"/>
  <c r="J310" i="8" s="1"/>
  <c r="K310" i="8" s="1"/>
  <c r="L310" i="8" s="1"/>
  <c r="M310" i="8" s="1"/>
  <c r="N310" i="8" s="1"/>
  <c r="F311" i="8"/>
  <c r="G311" i="8" s="1"/>
  <c r="H311" i="8" s="1"/>
  <c r="I311" i="8" s="1"/>
  <c r="J311" i="8" s="1"/>
  <c r="K311" i="8" s="1"/>
  <c r="L311" i="8" s="1"/>
  <c r="M311" i="8" s="1"/>
  <c r="N311" i="8" s="1"/>
  <c r="F312" i="8"/>
  <c r="G312" i="8" s="1"/>
  <c r="H312" i="8" s="1"/>
  <c r="I312" i="8" s="1"/>
  <c r="J312" i="8" s="1"/>
  <c r="K312" i="8" s="1"/>
  <c r="L312" i="8" s="1"/>
  <c r="M312" i="8" s="1"/>
  <c r="N312" i="8" s="1"/>
  <c r="F313" i="8"/>
  <c r="G313" i="8" s="1"/>
  <c r="H313" i="8" s="1"/>
  <c r="I313" i="8" s="1"/>
  <c r="J313" i="8" s="1"/>
  <c r="K313" i="8" s="1"/>
  <c r="L313" i="8" s="1"/>
  <c r="M313" i="8" s="1"/>
  <c r="N313" i="8" s="1"/>
  <c r="F314" i="8"/>
  <c r="G314" i="8" s="1"/>
  <c r="H314" i="8" s="1"/>
  <c r="I314" i="8" s="1"/>
  <c r="J314" i="8" s="1"/>
  <c r="K314" i="8" s="1"/>
  <c r="L314" i="8" s="1"/>
  <c r="M314" i="8" s="1"/>
  <c r="N314" i="8" s="1"/>
  <c r="F315" i="8"/>
  <c r="G315" i="8" s="1"/>
  <c r="H315" i="8" s="1"/>
  <c r="I315" i="8" s="1"/>
  <c r="J315" i="8" s="1"/>
  <c r="K315" i="8" s="1"/>
  <c r="L315" i="8" s="1"/>
  <c r="M315" i="8" s="1"/>
  <c r="N315" i="8" s="1"/>
  <c r="F316" i="8"/>
  <c r="G316" i="8" s="1"/>
  <c r="H316" i="8" s="1"/>
  <c r="I316" i="8" s="1"/>
  <c r="J316" i="8" s="1"/>
  <c r="K316" i="8" s="1"/>
  <c r="L316" i="8" s="1"/>
  <c r="M316" i="8" s="1"/>
  <c r="N316" i="8" s="1"/>
  <c r="F317" i="8"/>
  <c r="G317" i="8" s="1"/>
  <c r="H317" i="8" s="1"/>
  <c r="I317" i="8" s="1"/>
  <c r="J317" i="8" s="1"/>
  <c r="K317" i="8" s="1"/>
  <c r="L317" i="8" s="1"/>
  <c r="M317" i="8" s="1"/>
  <c r="N317" i="8" s="1"/>
  <c r="F318" i="8"/>
  <c r="G318" i="8" s="1"/>
  <c r="H318" i="8" s="1"/>
  <c r="I318" i="8" s="1"/>
  <c r="J318" i="8" s="1"/>
  <c r="K318" i="8" s="1"/>
  <c r="L318" i="8" s="1"/>
  <c r="M318" i="8" s="1"/>
  <c r="N318" i="8" s="1"/>
  <c r="F319" i="8"/>
  <c r="G319" i="8" s="1"/>
  <c r="H319" i="8" s="1"/>
  <c r="I319" i="8" s="1"/>
  <c r="J319" i="8" s="1"/>
  <c r="K319" i="8" s="1"/>
  <c r="L319" i="8" s="1"/>
  <c r="M319" i="8" s="1"/>
  <c r="N319" i="8" s="1"/>
  <c r="F320" i="8"/>
  <c r="G320" i="8" s="1"/>
  <c r="H320" i="8" s="1"/>
  <c r="I320" i="8" s="1"/>
  <c r="J320" i="8" s="1"/>
  <c r="K320" i="8" s="1"/>
  <c r="L320" i="8" s="1"/>
  <c r="M320" i="8" s="1"/>
  <c r="N320" i="8" s="1"/>
  <c r="F321" i="8"/>
  <c r="G321" i="8" s="1"/>
  <c r="H321" i="8" s="1"/>
  <c r="I321" i="8" s="1"/>
  <c r="J321" i="8" s="1"/>
  <c r="K321" i="8" s="1"/>
  <c r="L321" i="8" s="1"/>
  <c r="M321" i="8" s="1"/>
  <c r="N321" i="8" s="1"/>
  <c r="F322" i="8"/>
  <c r="G322" i="8" s="1"/>
  <c r="H322" i="8" s="1"/>
  <c r="I322" i="8" s="1"/>
  <c r="J322" i="8" s="1"/>
  <c r="K322" i="8" s="1"/>
  <c r="L322" i="8" s="1"/>
  <c r="M322" i="8" s="1"/>
  <c r="N322" i="8" s="1"/>
  <c r="F323" i="8"/>
  <c r="G323" i="8" s="1"/>
  <c r="H323" i="8" s="1"/>
  <c r="I323" i="8" s="1"/>
  <c r="J323" i="8" s="1"/>
  <c r="K323" i="8" s="1"/>
  <c r="L323" i="8" s="1"/>
  <c r="M323" i="8" s="1"/>
  <c r="N323" i="8" s="1"/>
  <c r="F324" i="8"/>
  <c r="G324" i="8" s="1"/>
  <c r="H324" i="8" s="1"/>
  <c r="I324" i="8" s="1"/>
  <c r="J324" i="8" s="1"/>
  <c r="K324" i="8" s="1"/>
  <c r="L324" i="8" s="1"/>
  <c r="M324" i="8" s="1"/>
  <c r="N324" i="8" s="1"/>
  <c r="F325" i="8"/>
  <c r="G325" i="8" s="1"/>
  <c r="H325" i="8" s="1"/>
  <c r="I325" i="8" s="1"/>
  <c r="J325" i="8" s="1"/>
  <c r="K325" i="8" s="1"/>
  <c r="L325" i="8" s="1"/>
  <c r="M325" i="8" s="1"/>
  <c r="N325" i="8" s="1"/>
  <c r="F326" i="8"/>
  <c r="G326" i="8" s="1"/>
  <c r="H326" i="8" s="1"/>
  <c r="I326" i="8" s="1"/>
  <c r="J326" i="8" s="1"/>
  <c r="K326" i="8" s="1"/>
  <c r="L326" i="8" s="1"/>
  <c r="M326" i="8" s="1"/>
  <c r="N326" i="8" s="1"/>
  <c r="F327" i="8"/>
  <c r="G327" i="8" s="1"/>
  <c r="H327" i="8" s="1"/>
  <c r="I327" i="8" s="1"/>
  <c r="J327" i="8" s="1"/>
  <c r="K327" i="8" s="1"/>
  <c r="L327" i="8" s="1"/>
  <c r="M327" i="8" s="1"/>
  <c r="N327" i="8" s="1"/>
  <c r="F328" i="8"/>
  <c r="G328" i="8" s="1"/>
  <c r="H328" i="8" s="1"/>
  <c r="I328" i="8" s="1"/>
  <c r="J328" i="8" s="1"/>
  <c r="K328" i="8" s="1"/>
  <c r="L328" i="8" s="1"/>
  <c r="M328" i="8" s="1"/>
  <c r="N328" i="8" s="1"/>
  <c r="F329" i="8"/>
  <c r="G329" i="8" s="1"/>
  <c r="H329" i="8" s="1"/>
  <c r="I329" i="8" s="1"/>
  <c r="J329" i="8" s="1"/>
  <c r="K329" i="8" s="1"/>
  <c r="L329" i="8" s="1"/>
  <c r="M329" i="8" s="1"/>
  <c r="N329" i="8" s="1"/>
  <c r="F330" i="8"/>
  <c r="G330" i="8" s="1"/>
  <c r="H330" i="8" s="1"/>
  <c r="I330" i="8" s="1"/>
  <c r="J330" i="8" s="1"/>
  <c r="K330" i="8" s="1"/>
  <c r="L330" i="8" s="1"/>
  <c r="M330" i="8" s="1"/>
  <c r="N330" i="8" s="1"/>
  <c r="F331" i="8"/>
  <c r="G331" i="8" s="1"/>
  <c r="H331" i="8" s="1"/>
  <c r="I331" i="8" s="1"/>
  <c r="J331" i="8" s="1"/>
  <c r="K331" i="8" s="1"/>
  <c r="L331" i="8" s="1"/>
  <c r="M331" i="8" s="1"/>
  <c r="N331" i="8" s="1"/>
  <c r="F332" i="8"/>
  <c r="G332" i="8" s="1"/>
  <c r="H332" i="8" s="1"/>
  <c r="I332" i="8" s="1"/>
  <c r="J332" i="8" s="1"/>
  <c r="K332" i="8" s="1"/>
  <c r="L332" i="8" s="1"/>
  <c r="M332" i="8" s="1"/>
  <c r="N332" i="8" s="1"/>
  <c r="F333" i="8"/>
  <c r="G333" i="8" s="1"/>
  <c r="H333" i="8" s="1"/>
  <c r="I333" i="8" s="1"/>
  <c r="J333" i="8" s="1"/>
  <c r="K333" i="8" s="1"/>
  <c r="L333" i="8" s="1"/>
  <c r="M333" i="8" s="1"/>
  <c r="N333" i="8" s="1"/>
  <c r="F334" i="8"/>
  <c r="G334" i="8" s="1"/>
  <c r="H334" i="8" s="1"/>
  <c r="I334" i="8" s="1"/>
  <c r="J334" i="8" s="1"/>
  <c r="K334" i="8" s="1"/>
  <c r="L334" i="8" s="1"/>
  <c r="M334" i="8" s="1"/>
  <c r="N334" i="8" s="1"/>
  <c r="F335" i="8"/>
  <c r="G335" i="8" s="1"/>
  <c r="H335" i="8" s="1"/>
  <c r="I335" i="8" s="1"/>
  <c r="J335" i="8" s="1"/>
  <c r="K335" i="8" s="1"/>
  <c r="L335" i="8" s="1"/>
  <c r="M335" i="8" s="1"/>
  <c r="N335" i="8" s="1"/>
  <c r="F336" i="8"/>
  <c r="G336" i="8" s="1"/>
  <c r="H336" i="8" s="1"/>
  <c r="I336" i="8" s="1"/>
  <c r="J336" i="8" s="1"/>
  <c r="K336" i="8" s="1"/>
  <c r="L336" i="8" s="1"/>
  <c r="M336" i="8" s="1"/>
  <c r="N336" i="8" s="1"/>
  <c r="F337" i="8"/>
  <c r="G337" i="8" s="1"/>
  <c r="H337" i="8" s="1"/>
  <c r="I337" i="8" s="1"/>
  <c r="J337" i="8" s="1"/>
  <c r="K337" i="8" s="1"/>
  <c r="L337" i="8" s="1"/>
  <c r="M337" i="8" s="1"/>
  <c r="N337" i="8" s="1"/>
  <c r="F338" i="8"/>
  <c r="G338" i="8" s="1"/>
  <c r="H338" i="8" s="1"/>
  <c r="I338" i="8" s="1"/>
  <c r="J338" i="8" s="1"/>
  <c r="K338" i="8" s="1"/>
  <c r="L338" i="8" s="1"/>
  <c r="M338" i="8" s="1"/>
  <c r="N338" i="8" s="1"/>
  <c r="F339" i="8"/>
  <c r="G339" i="8" s="1"/>
  <c r="H339" i="8" s="1"/>
  <c r="I339" i="8" s="1"/>
  <c r="J339" i="8" s="1"/>
  <c r="K339" i="8" s="1"/>
  <c r="L339" i="8" s="1"/>
  <c r="M339" i="8" s="1"/>
  <c r="N339" i="8" s="1"/>
  <c r="F340" i="8"/>
  <c r="G340" i="8" s="1"/>
  <c r="H340" i="8" s="1"/>
  <c r="I340" i="8" s="1"/>
  <c r="J340" i="8" s="1"/>
  <c r="K340" i="8" s="1"/>
  <c r="L340" i="8" s="1"/>
  <c r="M340" i="8" s="1"/>
  <c r="N340" i="8" s="1"/>
  <c r="F341" i="8"/>
  <c r="G341" i="8" s="1"/>
  <c r="H341" i="8" s="1"/>
  <c r="I341" i="8" s="1"/>
  <c r="J341" i="8" s="1"/>
  <c r="K341" i="8" s="1"/>
  <c r="L341" i="8" s="1"/>
  <c r="M341" i="8" s="1"/>
  <c r="N341" i="8" s="1"/>
  <c r="F342" i="8"/>
  <c r="G342" i="8" s="1"/>
  <c r="H342" i="8" s="1"/>
  <c r="I342" i="8" s="1"/>
  <c r="J342" i="8" s="1"/>
  <c r="K342" i="8" s="1"/>
  <c r="L342" i="8" s="1"/>
  <c r="M342" i="8" s="1"/>
  <c r="N342" i="8" s="1"/>
  <c r="F343" i="8"/>
  <c r="G343" i="8" s="1"/>
  <c r="H343" i="8" s="1"/>
  <c r="I343" i="8" s="1"/>
  <c r="J343" i="8" s="1"/>
  <c r="K343" i="8" s="1"/>
  <c r="L343" i="8" s="1"/>
  <c r="M343" i="8" s="1"/>
  <c r="N343" i="8" s="1"/>
  <c r="F344" i="8"/>
  <c r="G344" i="8" s="1"/>
  <c r="H344" i="8" s="1"/>
  <c r="I344" i="8" s="1"/>
  <c r="J344" i="8" s="1"/>
  <c r="K344" i="8" s="1"/>
  <c r="L344" i="8" s="1"/>
  <c r="M344" i="8" s="1"/>
  <c r="N344" i="8" s="1"/>
  <c r="F345" i="8"/>
  <c r="G345" i="8" s="1"/>
  <c r="H345" i="8" s="1"/>
  <c r="I345" i="8" s="1"/>
  <c r="J345" i="8" s="1"/>
  <c r="K345" i="8" s="1"/>
  <c r="L345" i="8" s="1"/>
  <c r="M345" i="8" s="1"/>
  <c r="N345" i="8" s="1"/>
  <c r="F346" i="8"/>
  <c r="G346" i="8" s="1"/>
  <c r="H346" i="8" s="1"/>
  <c r="I346" i="8" s="1"/>
  <c r="J346" i="8" s="1"/>
  <c r="K346" i="8" s="1"/>
  <c r="L346" i="8" s="1"/>
  <c r="M346" i="8" s="1"/>
  <c r="N346" i="8" s="1"/>
  <c r="F347" i="8"/>
  <c r="G347" i="8" s="1"/>
  <c r="H347" i="8" s="1"/>
  <c r="I347" i="8" s="1"/>
  <c r="J347" i="8" s="1"/>
  <c r="K347" i="8" s="1"/>
  <c r="L347" i="8" s="1"/>
  <c r="M347" i="8" s="1"/>
  <c r="N347" i="8" s="1"/>
  <c r="F348" i="8"/>
  <c r="G348" i="8" s="1"/>
  <c r="H348" i="8" s="1"/>
  <c r="I348" i="8" s="1"/>
  <c r="J348" i="8" s="1"/>
  <c r="K348" i="8" s="1"/>
  <c r="L348" i="8" s="1"/>
  <c r="M348" i="8" s="1"/>
  <c r="N348" i="8" s="1"/>
  <c r="F349" i="8"/>
  <c r="G349" i="8" s="1"/>
  <c r="H349" i="8" s="1"/>
  <c r="I349" i="8" s="1"/>
  <c r="J349" i="8" s="1"/>
  <c r="K349" i="8" s="1"/>
  <c r="L349" i="8" s="1"/>
  <c r="M349" i="8" s="1"/>
  <c r="N349" i="8" s="1"/>
  <c r="F350" i="8"/>
  <c r="G350" i="8" s="1"/>
  <c r="H350" i="8" s="1"/>
  <c r="I350" i="8" s="1"/>
  <c r="J350" i="8" s="1"/>
  <c r="K350" i="8" s="1"/>
  <c r="L350" i="8" s="1"/>
  <c r="M350" i="8" s="1"/>
  <c r="N350" i="8" s="1"/>
  <c r="F351" i="8"/>
  <c r="G351" i="8" s="1"/>
  <c r="H351" i="8" s="1"/>
  <c r="I351" i="8" s="1"/>
  <c r="J351" i="8" s="1"/>
  <c r="K351" i="8" s="1"/>
  <c r="L351" i="8" s="1"/>
  <c r="M351" i="8" s="1"/>
  <c r="N351" i="8" s="1"/>
  <c r="F352" i="8"/>
  <c r="G352" i="8" s="1"/>
  <c r="H352" i="8" s="1"/>
  <c r="I352" i="8" s="1"/>
  <c r="J352" i="8" s="1"/>
  <c r="K352" i="8" s="1"/>
  <c r="L352" i="8" s="1"/>
  <c r="M352" i="8" s="1"/>
  <c r="N352" i="8" s="1"/>
  <c r="F353" i="8"/>
  <c r="G353" i="8" s="1"/>
  <c r="H353" i="8" s="1"/>
  <c r="I353" i="8" s="1"/>
  <c r="J353" i="8" s="1"/>
  <c r="K353" i="8" s="1"/>
  <c r="L353" i="8" s="1"/>
  <c r="M353" i="8" s="1"/>
  <c r="N353" i="8" s="1"/>
  <c r="F354" i="8"/>
  <c r="G354" i="8" s="1"/>
  <c r="H354" i="8" s="1"/>
  <c r="I354" i="8" s="1"/>
  <c r="J354" i="8" s="1"/>
  <c r="K354" i="8" s="1"/>
  <c r="L354" i="8" s="1"/>
  <c r="M354" i="8" s="1"/>
  <c r="N354" i="8" s="1"/>
  <c r="F355" i="8"/>
  <c r="G355" i="8" s="1"/>
  <c r="H355" i="8" s="1"/>
  <c r="I355" i="8" s="1"/>
  <c r="J355" i="8" s="1"/>
  <c r="K355" i="8" s="1"/>
  <c r="L355" i="8" s="1"/>
  <c r="M355" i="8" s="1"/>
  <c r="N355" i="8" s="1"/>
  <c r="F356" i="8"/>
  <c r="G356" i="8" s="1"/>
  <c r="H356" i="8" s="1"/>
  <c r="I356" i="8" s="1"/>
  <c r="J356" i="8" s="1"/>
  <c r="K356" i="8" s="1"/>
  <c r="L356" i="8" s="1"/>
  <c r="M356" i="8" s="1"/>
  <c r="N356" i="8" s="1"/>
  <c r="F357" i="8"/>
  <c r="G357" i="8" s="1"/>
  <c r="H357" i="8" s="1"/>
  <c r="I357" i="8" s="1"/>
  <c r="J357" i="8" s="1"/>
  <c r="K357" i="8" s="1"/>
  <c r="L357" i="8" s="1"/>
  <c r="M357" i="8" s="1"/>
  <c r="N357" i="8" s="1"/>
  <c r="F358" i="8"/>
  <c r="G358" i="8" s="1"/>
  <c r="H358" i="8" s="1"/>
  <c r="I358" i="8" s="1"/>
  <c r="J358" i="8" s="1"/>
  <c r="K358" i="8" s="1"/>
  <c r="L358" i="8" s="1"/>
  <c r="M358" i="8" s="1"/>
  <c r="N358" i="8" s="1"/>
  <c r="F359" i="8"/>
  <c r="G359" i="8" s="1"/>
  <c r="H359" i="8" s="1"/>
  <c r="I359" i="8" s="1"/>
  <c r="J359" i="8" s="1"/>
  <c r="K359" i="8" s="1"/>
  <c r="L359" i="8" s="1"/>
  <c r="M359" i="8" s="1"/>
  <c r="N359" i="8" s="1"/>
  <c r="F360" i="8"/>
  <c r="G360" i="8" s="1"/>
  <c r="H360" i="8" s="1"/>
  <c r="I360" i="8" s="1"/>
  <c r="J360" i="8" s="1"/>
  <c r="K360" i="8" s="1"/>
  <c r="L360" i="8" s="1"/>
  <c r="M360" i="8" s="1"/>
  <c r="N360" i="8" s="1"/>
  <c r="F361" i="8"/>
  <c r="G361" i="8" s="1"/>
  <c r="H361" i="8" s="1"/>
  <c r="I361" i="8" s="1"/>
  <c r="J361" i="8" s="1"/>
  <c r="K361" i="8" s="1"/>
  <c r="L361" i="8" s="1"/>
  <c r="M361" i="8" s="1"/>
  <c r="N361" i="8" s="1"/>
  <c r="F362" i="8"/>
  <c r="G362" i="8" s="1"/>
  <c r="H362" i="8" s="1"/>
  <c r="I362" i="8" s="1"/>
  <c r="J362" i="8" s="1"/>
  <c r="K362" i="8" s="1"/>
  <c r="L362" i="8" s="1"/>
  <c r="M362" i="8" s="1"/>
  <c r="N362" i="8" s="1"/>
  <c r="F363" i="8"/>
  <c r="G363" i="8" s="1"/>
  <c r="H363" i="8" s="1"/>
  <c r="I363" i="8" s="1"/>
  <c r="J363" i="8" s="1"/>
  <c r="K363" i="8" s="1"/>
  <c r="L363" i="8" s="1"/>
  <c r="M363" i="8" s="1"/>
  <c r="N363" i="8" s="1"/>
  <c r="F364" i="8"/>
  <c r="G364" i="8" s="1"/>
  <c r="H364" i="8" s="1"/>
  <c r="I364" i="8" s="1"/>
  <c r="J364" i="8" s="1"/>
  <c r="K364" i="8" s="1"/>
  <c r="L364" i="8" s="1"/>
  <c r="M364" i="8" s="1"/>
  <c r="N364" i="8" s="1"/>
  <c r="F365" i="8"/>
  <c r="G365" i="8" s="1"/>
  <c r="H365" i="8" s="1"/>
  <c r="I365" i="8" s="1"/>
  <c r="J365" i="8" s="1"/>
  <c r="K365" i="8" s="1"/>
  <c r="L365" i="8" s="1"/>
  <c r="M365" i="8" s="1"/>
  <c r="N365" i="8" s="1"/>
  <c r="F366" i="8"/>
  <c r="G366" i="8" s="1"/>
  <c r="H366" i="8" s="1"/>
  <c r="I366" i="8" s="1"/>
  <c r="J366" i="8" s="1"/>
  <c r="K366" i="8" s="1"/>
  <c r="L366" i="8" s="1"/>
  <c r="M366" i="8" s="1"/>
  <c r="N366" i="8" s="1"/>
  <c r="F367" i="8"/>
  <c r="G367" i="8" s="1"/>
  <c r="H367" i="8" s="1"/>
  <c r="I367" i="8" s="1"/>
  <c r="J367" i="8" s="1"/>
  <c r="K367" i="8" s="1"/>
  <c r="L367" i="8" s="1"/>
  <c r="M367" i="8" s="1"/>
  <c r="N367" i="8" s="1"/>
  <c r="F368" i="8"/>
  <c r="G368" i="8" s="1"/>
  <c r="H368" i="8" s="1"/>
  <c r="I368" i="8" s="1"/>
  <c r="J368" i="8" s="1"/>
  <c r="K368" i="8" s="1"/>
  <c r="L368" i="8" s="1"/>
  <c r="M368" i="8" s="1"/>
  <c r="N368" i="8" s="1"/>
  <c r="F369" i="8"/>
  <c r="G369" i="8" s="1"/>
  <c r="H369" i="8" s="1"/>
  <c r="I369" i="8" s="1"/>
  <c r="J369" i="8" s="1"/>
  <c r="K369" i="8" s="1"/>
  <c r="L369" i="8" s="1"/>
  <c r="M369" i="8" s="1"/>
  <c r="N369" i="8" s="1"/>
  <c r="F370" i="8"/>
  <c r="G370" i="8" s="1"/>
  <c r="H370" i="8" s="1"/>
  <c r="I370" i="8" s="1"/>
  <c r="J370" i="8" s="1"/>
  <c r="K370" i="8" s="1"/>
  <c r="L370" i="8" s="1"/>
  <c r="M370" i="8" s="1"/>
  <c r="N370" i="8" s="1"/>
  <c r="F371" i="8"/>
  <c r="G371" i="8" s="1"/>
  <c r="H371" i="8" s="1"/>
  <c r="I371" i="8" s="1"/>
  <c r="J371" i="8" s="1"/>
  <c r="K371" i="8" s="1"/>
  <c r="L371" i="8" s="1"/>
  <c r="M371" i="8" s="1"/>
  <c r="N371" i="8" s="1"/>
  <c r="F372" i="8"/>
  <c r="G372" i="8" s="1"/>
  <c r="H372" i="8" s="1"/>
  <c r="I372" i="8" s="1"/>
  <c r="J372" i="8" s="1"/>
  <c r="K372" i="8" s="1"/>
  <c r="L372" i="8" s="1"/>
  <c r="M372" i="8" s="1"/>
  <c r="N372" i="8" s="1"/>
  <c r="F373" i="8"/>
  <c r="G373" i="8" s="1"/>
  <c r="H373" i="8" s="1"/>
  <c r="I373" i="8" s="1"/>
  <c r="J373" i="8" s="1"/>
  <c r="K373" i="8" s="1"/>
  <c r="L373" i="8" s="1"/>
  <c r="M373" i="8" s="1"/>
  <c r="N373" i="8" s="1"/>
  <c r="F374" i="8"/>
  <c r="G374" i="8" s="1"/>
  <c r="H374" i="8" s="1"/>
  <c r="I374" i="8" s="1"/>
  <c r="J374" i="8" s="1"/>
  <c r="K374" i="8" s="1"/>
  <c r="L374" i="8" s="1"/>
  <c r="M374" i="8" s="1"/>
  <c r="N374" i="8" s="1"/>
  <c r="F375" i="8"/>
  <c r="G375" i="8" s="1"/>
  <c r="H375" i="8" s="1"/>
  <c r="I375" i="8" s="1"/>
  <c r="J375" i="8" s="1"/>
  <c r="K375" i="8" s="1"/>
  <c r="L375" i="8" s="1"/>
  <c r="M375" i="8" s="1"/>
  <c r="N375" i="8" s="1"/>
  <c r="F376" i="8"/>
  <c r="G376" i="8" s="1"/>
  <c r="H376" i="8" s="1"/>
  <c r="I376" i="8" s="1"/>
  <c r="J376" i="8" s="1"/>
  <c r="K376" i="8" s="1"/>
  <c r="L376" i="8" s="1"/>
  <c r="M376" i="8" s="1"/>
  <c r="N376" i="8" s="1"/>
  <c r="F377" i="8"/>
  <c r="G377" i="8" s="1"/>
  <c r="H377" i="8" s="1"/>
  <c r="I377" i="8" s="1"/>
  <c r="J377" i="8" s="1"/>
  <c r="K377" i="8" s="1"/>
  <c r="L377" i="8" s="1"/>
  <c r="M377" i="8" s="1"/>
  <c r="N377" i="8" s="1"/>
  <c r="F378" i="8"/>
  <c r="G378" i="8" s="1"/>
  <c r="H378" i="8" s="1"/>
  <c r="I378" i="8" s="1"/>
  <c r="J378" i="8" s="1"/>
  <c r="K378" i="8" s="1"/>
  <c r="L378" i="8" s="1"/>
  <c r="M378" i="8" s="1"/>
  <c r="N378" i="8" s="1"/>
  <c r="F379" i="8"/>
  <c r="G379" i="8" s="1"/>
  <c r="H379" i="8" s="1"/>
  <c r="I379" i="8" s="1"/>
  <c r="J379" i="8" s="1"/>
  <c r="K379" i="8" s="1"/>
  <c r="L379" i="8" s="1"/>
  <c r="M379" i="8" s="1"/>
  <c r="N379" i="8" s="1"/>
  <c r="F380" i="8"/>
  <c r="G380" i="8" s="1"/>
  <c r="H380" i="8" s="1"/>
  <c r="I380" i="8" s="1"/>
  <c r="J380" i="8" s="1"/>
  <c r="K380" i="8" s="1"/>
  <c r="L380" i="8" s="1"/>
  <c r="M380" i="8" s="1"/>
  <c r="N380" i="8" s="1"/>
  <c r="F381" i="8"/>
  <c r="G381" i="8" s="1"/>
  <c r="H381" i="8" s="1"/>
  <c r="I381" i="8" s="1"/>
  <c r="J381" i="8" s="1"/>
  <c r="K381" i="8" s="1"/>
  <c r="L381" i="8" s="1"/>
  <c r="M381" i="8" s="1"/>
  <c r="N381" i="8" s="1"/>
  <c r="F382" i="8"/>
  <c r="G382" i="8" s="1"/>
  <c r="H382" i="8" s="1"/>
  <c r="I382" i="8" s="1"/>
  <c r="J382" i="8" s="1"/>
  <c r="K382" i="8" s="1"/>
  <c r="L382" i="8" s="1"/>
  <c r="M382" i="8" s="1"/>
  <c r="N382" i="8" s="1"/>
  <c r="F383" i="8"/>
  <c r="G383" i="8" s="1"/>
  <c r="H383" i="8" s="1"/>
  <c r="I383" i="8" s="1"/>
  <c r="J383" i="8" s="1"/>
  <c r="K383" i="8" s="1"/>
  <c r="L383" i="8" s="1"/>
  <c r="M383" i="8" s="1"/>
  <c r="N383" i="8" s="1"/>
  <c r="F384" i="8"/>
  <c r="G384" i="8" s="1"/>
  <c r="H384" i="8" s="1"/>
  <c r="I384" i="8" s="1"/>
  <c r="J384" i="8" s="1"/>
  <c r="K384" i="8" s="1"/>
  <c r="L384" i="8" s="1"/>
  <c r="M384" i="8" s="1"/>
  <c r="N384" i="8" s="1"/>
  <c r="F385" i="8"/>
  <c r="G385" i="8" s="1"/>
  <c r="H385" i="8" s="1"/>
  <c r="I385" i="8" s="1"/>
  <c r="J385" i="8" s="1"/>
  <c r="K385" i="8" s="1"/>
  <c r="L385" i="8" s="1"/>
  <c r="M385" i="8" s="1"/>
  <c r="N385" i="8" s="1"/>
  <c r="F386" i="8"/>
  <c r="G386" i="8" s="1"/>
  <c r="H386" i="8" s="1"/>
  <c r="I386" i="8" s="1"/>
  <c r="J386" i="8" s="1"/>
  <c r="K386" i="8" s="1"/>
  <c r="L386" i="8" s="1"/>
  <c r="M386" i="8" s="1"/>
  <c r="N386" i="8" s="1"/>
  <c r="F387" i="8"/>
  <c r="G387" i="8" s="1"/>
  <c r="H387" i="8" s="1"/>
  <c r="I387" i="8" s="1"/>
  <c r="J387" i="8" s="1"/>
  <c r="K387" i="8" s="1"/>
  <c r="L387" i="8" s="1"/>
  <c r="M387" i="8" s="1"/>
  <c r="N387" i="8" s="1"/>
  <c r="F388" i="8"/>
  <c r="G388" i="8" s="1"/>
  <c r="H388" i="8" s="1"/>
  <c r="I388" i="8" s="1"/>
  <c r="J388" i="8" s="1"/>
  <c r="K388" i="8" s="1"/>
  <c r="L388" i="8" s="1"/>
  <c r="M388" i="8" s="1"/>
  <c r="N388" i="8" s="1"/>
  <c r="F389" i="8"/>
  <c r="G389" i="8" s="1"/>
  <c r="H389" i="8" s="1"/>
  <c r="I389" i="8" s="1"/>
  <c r="J389" i="8" s="1"/>
  <c r="K389" i="8" s="1"/>
  <c r="L389" i="8" s="1"/>
  <c r="M389" i="8" s="1"/>
  <c r="N389" i="8" s="1"/>
  <c r="F390" i="8"/>
  <c r="G390" i="8" s="1"/>
  <c r="H390" i="8" s="1"/>
  <c r="I390" i="8" s="1"/>
  <c r="J390" i="8" s="1"/>
  <c r="K390" i="8" s="1"/>
  <c r="L390" i="8" s="1"/>
  <c r="M390" i="8" s="1"/>
  <c r="N390" i="8" s="1"/>
  <c r="F391" i="8"/>
  <c r="G391" i="8" s="1"/>
  <c r="H391" i="8" s="1"/>
  <c r="I391" i="8" s="1"/>
  <c r="J391" i="8" s="1"/>
  <c r="K391" i="8" s="1"/>
  <c r="L391" i="8" s="1"/>
  <c r="M391" i="8" s="1"/>
  <c r="N391" i="8" s="1"/>
  <c r="F392" i="8"/>
  <c r="G392" i="8" s="1"/>
  <c r="H392" i="8" s="1"/>
  <c r="I392" i="8" s="1"/>
  <c r="J392" i="8" s="1"/>
  <c r="K392" i="8" s="1"/>
  <c r="L392" i="8" s="1"/>
  <c r="M392" i="8" s="1"/>
  <c r="N392" i="8" s="1"/>
  <c r="F393" i="8"/>
  <c r="G393" i="8" s="1"/>
  <c r="H393" i="8" s="1"/>
  <c r="I393" i="8" s="1"/>
  <c r="J393" i="8" s="1"/>
  <c r="K393" i="8" s="1"/>
  <c r="L393" i="8" s="1"/>
  <c r="M393" i="8" s="1"/>
  <c r="N393" i="8" s="1"/>
  <c r="F394" i="8"/>
  <c r="G394" i="8" s="1"/>
  <c r="H394" i="8" s="1"/>
  <c r="I394" i="8" s="1"/>
  <c r="J394" i="8" s="1"/>
  <c r="K394" i="8" s="1"/>
  <c r="L394" i="8" s="1"/>
  <c r="M394" i="8" s="1"/>
  <c r="N394" i="8" s="1"/>
  <c r="F395" i="8"/>
  <c r="G395" i="8" s="1"/>
  <c r="H395" i="8" s="1"/>
  <c r="I395" i="8" s="1"/>
  <c r="J395" i="8" s="1"/>
  <c r="K395" i="8" s="1"/>
  <c r="L395" i="8" s="1"/>
  <c r="M395" i="8" s="1"/>
  <c r="N395" i="8" s="1"/>
  <c r="F396" i="8"/>
  <c r="G396" i="8" s="1"/>
  <c r="H396" i="8" s="1"/>
  <c r="I396" i="8" s="1"/>
  <c r="J396" i="8" s="1"/>
  <c r="K396" i="8" s="1"/>
  <c r="L396" i="8" s="1"/>
  <c r="M396" i="8" s="1"/>
  <c r="N396" i="8" s="1"/>
  <c r="F397" i="8"/>
  <c r="G397" i="8" s="1"/>
  <c r="H397" i="8" s="1"/>
  <c r="I397" i="8" s="1"/>
  <c r="J397" i="8" s="1"/>
  <c r="K397" i="8" s="1"/>
  <c r="L397" i="8" s="1"/>
  <c r="M397" i="8" s="1"/>
  <c r="N397" i="8" s="1"/>
  <c r="F398" i="8"/>
  <c r="G398" i="8" s="1"/>
  <c r="H398" i="8" s="1"/>
  <c r="I398" i="8" s="1"/>
  <c r="J398" i="8" s="1"/>
  <c r="K398" i="8" s="1"/>
  <c r="L398" i="8" s="1"/>
  <c r="M398" i="8" s="1"/>
  <c r="N398" i="8" s="1"/>
  <c r="F399" i="8"/>
  <c r="G399" i="8" s="1"/>
  <c r="H399" i="8" s="1"/>
  <c r="I399" i="8" s="1"/>
  <c r="J399" i="8" s="1"/>
  <c r="K399" i="8" s="1"/>
  <c r="L399" i="8" s="1"/>
  <c r="M399" i="8" s="1"/>
  <c r="N399" i="8" s="1"/>
  <c r="F400" i="8"/>
  <c r="G400" i="8" s="1"/>
  <c r="H400" i="8" s="1"/>
  <c r="I400" i="8" s="1"/>
  <c r="J400" i="8" s="1"/>
  <c r="K400" i="8" s="1"/>
  <c r="L400" i="8" s="1"/>
  <c r="M400" i="8" s="1"/>
  <c r="N400" i="8" s="1"/>
  <c r="F401" i="8"/>
  <c r="G401" i="8" s="1"/>
  <c r="H401" i="8" s="1"/>
  <c r="I401" i="8" s="1"/>
  <c r="J401" i="8" s="1"/>
  <c r="K401" i="8" s="1"/>
  <c r="L401" i="8" s="1"/>
  <c r="M401" i="8" s="1"/>
  <c r="N401" i="8" s="1"/>
  <c r="F402" i="8"/>
  <c r="G402" i="8" s="1"/>
  <c r="H402" i="8" s="1"/>
  <c r="I402" i="8" s="1"/>
  <c r="J402" i="8" s="1"/>
  <c r="K402" i="8" s="1"/>
  <c r="L402" i="8" s="1"/>
  <c r="M402" i="8" s="1"/>
  <c r="N402" i="8" s="1"/>
  <c r="F403" i="8"/>
  <c r="G403" i="8" s="1"/>
  <c r="H403" i="8" s="1"/>
  <c r="I403" i="8" s="1"/>
  <c r="J403" i="8" s="1"/>
  <c r="K403" i="8" s="1"/>
  <c r="L403" i="8" s="1"/>
  <c r="M403" i="8" s="1"/>
  <c r="N403" i="8" s="1"/>
  <c r="F404" i="8"/>
  <c r="G404" i="8" s="1"/>
  <c r="H404" i="8" s="1"/>
  <c r="I404" i="8" s="1"/>
  <c r="J404" i="8" s="1"/>
  <c r="K404" i="8" s="1"/>
  <c r="L404" i="8" s="1"/>
  <c r="M404" i="8" s="1"/>
  <c r="N404" i="8" s="1"/>
  <c r="F405" i="8"/>
  <c r="G405" i="8" s="1"/>
  <c r="H405" i="8" s="1"/>
  <c r="I405" i="8" s="1"/>
  <c r="J405" i="8" s="1"/>
  <c r="K405" i="8" s="1"/>
  <c r="L405" i="8" s="1"/>
  <c r="M405" i="8" s="1"/>
  <c r="N405" i="8" s="1"/>
  <c r="F406" i="8"/>
  <c r="G406" i="8" s="1"/>
  <c r="H406" i="8" s="1"/>
  <c r="I406" i="8" s="1"/>
  <c r="J406" i="8" s="1"/>
  <c r="K406" i="8" s="1"/>
  <c r="L406" i="8" s="1"/>
  <c r="M406" i="8" s="1"/>
  <c r="N406" i="8" s="1"/>
  <c r="F407" i="8"/>
  <c r="G407" i="8" s="1"/>
  <c r="H407" i="8" s="1"/>
  <c r="I407" i="8" s="1"/>
  <c r="J407" i="8" s="1"/>
  <c r="K407" i="8" s="1"/>
  <c r="L407" i="8" s="1"/>
  <c r="M407" i="8" s="1"/>
  <c r="N407" i="8" s="1"/>
  <c r="F408" i="8"/>
  <c r="G408" i="8" s="1"/>
  <c r="H408" i="8" s="1"/>
  <c r="I408" i="8" s="1"/>
  <c r="J408" i="8" s="1"/>
  <c r="K408" i="8" s="1"/>
  <c r="L408" i="8" s="1"/>
  <c r="M408" i="8" s="1"/>
  <c r="N408" i="8" s="1"/>
  <c r="F409" i="8"/>
  <c r="G409" i="8" s="1"/>
  <c r="H409" i="8" s="1"/>
  <c r="I409" i="8" s="1"/>
  <c r="J409" i="8" s="1"/>
  <c r="K409" i="8" s="1"/>
  <c r="L409" i="8" s="1"/>
  <c r="M409" i="8" s="1"/>
  <c r="N409" i="8" s="1"/>
  <c r="F410" i="8"/>
  <c r="G410" i="8" s="1"/>
  <c r="H410" i="8" s="1"/>
  <c r="I410" i="8" s="1"/>
  <c r="J410" i="8" s="1"/>
  <c r="K410" i="8" s="1"/>
  <c r="L410" i="8" s="1"/>
  <c r="M410" i="8" s="1"/>
  <c r="N410" i="8" s="1"/>
  <c r="F411" i="8"/>
  <c r="G411" i="8" s="1"/>
  <c r="H411" i="8" s="1"/>
  <c r="I411" i="8" s="1"/>
  <c r="J411" i="8" s="1"/>
  <c r="K411" i="8" s="1"/>
  <c r="L411" i="8" s="1"/>
  <c r="M411" i="8" s="1"/>
  <c r="N411" i="8" s="1"/>
  <c r="F412" i="8"/>
  <c r="G412" i="8" s="1"/>
  <c r="H412" i="8" s="1"/>
  <c r="I412" i="8" s="1"/>
  <c r="J412" i="8" s="1"/>
  <c r="K412" i="8" s="1"/>
  <c r="L412" i="8" s="1"/>
  <c r="M412" i="8" s="1"/>
  <c r="N412" i="8" s="1"/>
  <c r="F413" i="8"/>
  <c r="G413" i="8" s="1"/>
  <c r="H413" i="8" s="1"/>
  <c r="I413" i="8" s="1"/>
  <c r="J413" i="8" s="1"/>
  <c r="K413" i="8" s="1"/>
  <c r="L413" i="8" s="1"/>
  <c r="M413" i="8" s="1"/>
  <c r="N413" i="8" s="1"/>
  <c r="F414" i="8"/>
  <c r="G414" i="8" s="1"/>
  <c r="H414" i="8" s="1"/>
  <c r="I414" i="8" s="1"/>
  <c r="J414" i="8" s="1"/>
  <c r="K414" i="8" s="1"/>
  <c r="L414" i="8" s="1"/>
  <c r="M414" i="8" s="1"/>
  <c r="N414" i="8" s="1"/>
  <c r="F415" i="8"/>
  <c r="G415" i="8" s="1"/>
  <c r="H415" i="8" s="1"/>
  <c r="I415" i="8" s="1"/>
  <c r="J415" i="8" s="1"/>
  <c r="K415" i="8" s="1"/>
  <c r="L415" i="8" s="1"/>
  <c r="M415" i="8" s="1"/>
  <c r="N415" i="8" s="1"/>
  <c r="F416" i="8"/>
  <c r="G416" i="8" s="1"/>
  <c r="H416" i="8" s="1"/>
  <c r="I416" i="8" s="1"/>
  <c r="J416" i="8" s="1"/>
  <c r="K416" i="8" s="1"/>
  <c r="L416" i="8" s="1"/>
  <c r="M416" i="8" s="1"/>
  <c r="N416" i="8" s="1"/>
  <c r="F417" i="8"/>
  <c r="G417" i="8" s="1"/>
  <c r="H417" i="8" s="1"/>
  <c r="I417" i="8" s="1"/>
  <c r="J417" i="8" s="1"/>
  <c r="K417" i="8" s="1"/>
  <c r="L417" i="8" s="1"/>
  <c r="M417" i="8" s="1"/>
  <c r="N417" i="8" s="1"/>
  <c r="F418" i="8"/>
  <c r="G418" i="8" s="1"/>
  <c r="H418" i="8" s="1"/>
  <c r="I418" i="8" s="1"/>
  <c r="J418" i="8" s="1"/>
  <c r="K418" i="8" s="1"/>
  <c r="L418" i="8" s="1"/>
  <c r="M418" i="8" s="1"/>
  <c r="N418" i="8" s="1"/>
  <c r="F419" i="8"/>
  <c r="G419" i="8" s="1"/>
  <c r="H419" i="8" s="1"/>
  <c r="I419" i="8" s="1"/>
  <c r="J419" i="8" s="1"/>
  <c r="K419" i="8" s="1"/>
  <c r="L419" i="8" s="1"/>
  <c r="M419" i="8" s="1"/>
  <c r="N419" i="8" s="1"/>
  <c r="F420" i="8"/>
  <c r="G420" i="8" s="1"/>
  <c r="H420" i="8" s="1"/>
  <c r="I420" i="8" s="1"/>
  <c r="J420" i="8" s="1"/>
  <c r="K420" i="8" s="1"/>
  <c r="L420" i="8" s="1"/>
  <c r="M420" i="8" s="1"/>
  <c r="N420" i="8" s="1"/>
  <c r="F421" i="8"/>
  <c r="G421" i="8" s="1"/>
  <c r="H421" i="8" s="1"/>
  <c r="I421" i="8" s="1"/>
  <c r="J421" i="8" s="1"/>
  <c r="K421" i="8" s="1"/>
  <c r="L421" i="8" s="1"/>
  <c r="M421" i="8" s="1"/>
  <c r="N421" i="8" s="1"/>
  <c r="F422" i="8"/>
  <c r="G422" i="8" s="1"/>
  <c r="H422" i="8" s="1"/>
  <c r="I422" i="8" s="1"/>
  <c r="J422" i="8" s="1"/>
  <c r="K422" i="8" s="1"/>
  <c r="L422" i="8" s="1"/>
  <c r="M422" i="8" s="1"/>
  <c r="N422" i="8" s="1"/>
  <c r="F423" i="8"/>
  <c r="G423" i="8" s="1"/>
  <c r="H423" i="8" s="1"/>
  <c r="I423" i="8" s="1"/>
  <c r="J423" i="8" s="1"/>
  <c r="K423" i="8" s="1"/>
  <c r="L423" i="8" s="1"/>
  <c r="M423" i="8" s="1"/>
  <c r="N423" i="8" s="1"/>
  <c r="F424" i="8"/>
  <c r="G424" i="8" s="1"/>
  <c r="H424" i="8" s="1"/>
  <c r="I424" i="8" s="1"/>
  <c r="J424" i="8" s="1"/>
  <c r="K424" i="8" s="1"/>
  <c r="L424" i="8" s="1"/>
  <c r="M424" i="8" s="1"/>
  <c r="N424" i="8" s="1"/>
  <c r="F425" i="8"/>
  <c r="G425" i="8" s="1"/>
  <c r="H425" i="8" s="1"/>
  <c r="I425" i="8" s="1"/>
  <c r="J425" i="8" s="1"/>
  <c r="K425" i="8" s="1"/>
  <c r="L425" i="8" s="1"/>
  <c r="M425" i="8" s="1"/>
  <c r="N425" i="8" s="1"/>
  <c r="F426" i="8"/>
  <c r="G426" i="8" s="1"/>
  <c r="H426" i="8" s="1"/>
  <c r="I426" i="8" s="1"/>
  <c r="J426" i="8" s="1"/>
  <c r="K426" i="8" s="1"/>
  <c r="L426" i="8" s="1"/>
  <c r="M426" i="8" s="1"/>
  <c r="N426" i="8" s="1"/>
  <c r="F427" i="8"/>
  <c r="G427" i="8" s="1"/>
  <c r="H427" i="8" s="1"/>
  <c r="I427" i="8" s="1"/>
  <c r="J427" i="8" s="1"/>
  <c r="K427" i="8" s="1"/>
  <c r="L427" i="8" s="1"/>
  <c r="M427" i="8" s="1"/>
  <c r="N427" i="8" s="1"/>
  <c r="F428" i="8"/>
  <c r="G428" i="8" s="1"/>
  <c r="H428" i="8" s="1"/>
  <c r="I428" i="8" s="1"/>
  <c r="J428" i="8" s="1"/>
  <c r="K428" i="8" s="1"/>
  <c r="L428" i="8" s="1"/>
  <c r="M428" i="8" s="1"/>
  <c r="N428" i="8" s="1"/>
  <c r="F429" i="8"/>
  <c r="G429" i="8" s="1"/>
  <c r="H429" i="8" s="1"/>
  <c r="I429" i="8" s="1"/>
  <c r="J429" i="8" s="1"/>
  <c r="K429" i="8" s="1"/>
  <c r="L429" i="8" s="1"/>
  <c r="M429" i="8" s="1"/>
  <c r="N429" i="8" s="1"/>
  <c r="F430" i="8"/>
  <c r="G430" i="8" s="1"/>
  <c r="H430" i="8" s="1"/>
  <c r="I430" i="8" s="1"/>
  <c r="J430" i="8" s="1"/>
  <c r="K430" i="8" s="1"/>
  <c r="L430" i="8" s="1"/>
  <c r="M430" i="8" s="1"/>
  <c r="N430" i="8" s="1"/>
  <c r="F431" i="8"/>
  <c r="G431" i="8" s="1"/>
  <c r="H431" i="8" s="1"/>
  <c r="I431" i="8" s="1"/>
  <c r="J431" i="8" s="1"/>
  <c r="K431" i="8" s="1"/>
  <c r="L431" i="8" s="1"/>
  <c r="M431" i="8" s="1"/>
  <c r="N431" i="8" s="1"/>
  <c r="F432" i="8"/>
  <c r="G432" i="8" s="1"/>
  <c r="H432" i="8" s="1"/>
  <c r="I432" i="8" s="1"/>
  <c r="J432" i="8" s="1"/>
  <c r="K432" i="8" s="1"/>
  <c r="L432" i="8" s="1"/>
  <c r="M432" i="8" s="1"/>
  <c r="N432" i="8" s="1"/>
  <c r="F433" i="8"/>
  <c r="G433" i="8" s="1"/>
  <c r="H433" i="8" s="1"/>
  <c r="I433" i="8" s="1"/>
  <c r="J433" i="8" s="1"/>
  <c r="K433" i="8" s="1"/>
  <c r="L433" i="8" s="1"/>
  <c r="M433" i="8" s="1"/>
  <c r="N433" i="8" s="1"/>
  <c r="F434" i="8"/>
  <c r="G434" i="8" s="1"/>
  <c r="H434" i="8" s="1"/>
  <c r="I434" i="8" s="1"/>
  <c r="J434" i="8" s="1"/>
  <c r="K434" i="8" s="1"/>
  <c r="L434" i="8" s="1"/>
  <c r="M434" i="8" s="1"/>
  <c r="N434" i="8" s="1"/>
  <c r="F435" i="8"/>
  <c r="G435" i="8" s="1"/>
  <c r="H435" i="8" s="1"/>
  <c r="I435" i="8" s="1"/>
  <c r="J435" i="8" s="1"/>
  <c r="K435" i="8" s="1"/>
  <c r="L435" i="8" s="1"/>
  <c r="M435" i="8" s="1"/>
  <c r="N435" i="8" s="1"/>
  <c r="F436" i="8"/>
  <c r="G436" i="8" s="1"/>
  <c r="H436" i="8" s="1"/>
  <c r="I436" i="8" s="1"/>
  <c r="J436" i="8" s="1"/>
  <c r="K436" i="8" s="1"/>
  <c r="L436" i="8" s="1"/>
  <c r="M436" i="8" s="1"/>
  <c r="N436" i="8" s="1"/>
  <c r="F437" i="8"/>
  <c r="G437" i="8" s="1"/>
  <c r="H437" i="8" s="1"/>
  <c r="I437" i="8" s="1"/>
  <c r="J437" i="8" s="1"/>
  <c r="K437" i="8" s="1"/>
  <c r="L437" i="8" s="1"/>
  <c r="M437" i="8" s="1"/>
  <c r="N437" i="8" s="1"/>
  <c r="F438" i="8"/>
  <c r="G438" i="8" s="1"/>
  <c r="H438" i="8" s="1"/>
  <c r="I438" i="8" s="1"/>
  <c r="J438" i="8" s="1"/>
  <c r="K438" i="8" s="1"/>
  <c r="L438" i="8" s="1"/>
  <c r="M438" i="8" s="1"/>
  <c r="N438" i="8" s="1"/>
  <c r="F439" i="8"/>
  <c r="G439" i="8" s="1"/>
  <c r="H439" i="8" s="1"/>
  <c r="I439" i="8" s="1"/>
  <c r="J439" i="8" s="1"/>
  <c r="K439" i="8" s="1"/>
  <c r="L439" i="8" s="1"/>
  <c r="M439" i="8" s="1"/>
  <c r="N439" i="8" s="1"/>
  <c r="F440" i="8"/>
  <c r="G440" i="8" s="1"/>
  <c r="H440" i="8" s="1"/>
  <c r="I440" i="8" s="1"/>
  <c r="J440" i="8" s="1"/>
  <c r="K440" i="8" s="1"/>
  <c r="L440" i="8" s="1"/>
  <c r="M440" i="8" s="1"/>
  <c r="N440" i="8" s="1"/>
  <c r="F441" i="8"/>
  <c r="G441" i="8" s="1"/>
  <c r="H441" i="8" s="1"/>
  <c r="I441" i="8" s="1"/>
  <c r="J441" i="8" s="1"/>
  <c r="K441" i="8" s="1"/>
  <c r="L441" i="8" s="1"/>
  <c r="M441" i="8" s="1"/>
  <c r="N441" i="8" s="1"/>
  <c r="F442" i="8"/>
  <c r="G442" i="8" s="1"/>
  <c r="H442" i="8" s="1"/>
  <c r="I442" i="8" s="1"/>
  <c r="J442" i="8" s="1"/>
  <c r="K442" i="8" s="1"/>
  <c r="L442" i="8" s="1"/>
  <c r="M442" i="8" s="1"/>
  <c r="N442" i="8" s="1"/>
  <c r="F443" i="8"/>
  <c r="G443" i="8" s="1"/>
  <c r="H443" i="8" s="1"/>
  <c r="I443" i="8" s="1"/>
  <c r="J443" i="8" s="1"/>
  <c r="K443" i="8" s="1"/>
  <c r="L443" i="8" s="1"/>
  <c r="M443" i="8" s="1"/>
  <c r="N443" i="8" s="1"/>
  <c r="F444" i="8"/>
  <c r="G444" i="8" s="1"/>
  <c r="H444" i="8" s="1"/>
  <c r="I444" i="8" s="1"/>
  <c r="J444" i="8" s="1"/>
  <c r="K444" i="8" s="1"/>
  <c r="L444" i="8" s="1"/>
  <c r="M444" i="8" s="1"/>
  <c r="N444" i="8" s="1"/>
  <c r="F445" i="8"/>
  <c r="G445" i="8" s="1"/>
  <c r="H445" i="8" s="1"/>
  <c r="I445" i="8" s="1"/>
  <c r="J445" i="8" s="1"/>
  <c r="K445" i="8" s="1"/>
  <c r="L445" i="8" s="1"/>
  <c r="M445" i="8" s="1"/>
  <c r="N445" i="8" s="1"/>
  <c r="F446" i="8"/>
  <c r="G446" i="8" s="1"/>
  <c r="H446" i="8" s="1"/>
  <c r="I446" i="8" s="1"/>
  <c r="J446" i="8" s="1"/>
  <c r="K446" i="8" s="1"/>
  <c r="L446" i="8" s="1"/>
  <c r="M446" i="8" s="1"/>
  <c r="N446" i="8" s="1"/>
  <c r="F447" i="8"/>
  <c r="G447" i="8" s="1"/>
  <c r="H447" i="8" s="1"/>
  <c r="I447" i="8" s="1"/>
  <c r="J447" i="8" s="1"/>
  <c r="K447" i="8" s="1"/>
  <c r="L447" i="8" s="1"/>
  <c r="M447" i="8" s="1"/>
  <c r="N447" i="8" s="1"/>
  <c r="F448" i="8"/>
  <c r="G448" i="8" s="1"/>
  <c r="H448" i="8" s="1"/>
  <c r="I448" i="8" s="1"/>
  <c r="J448" i="8" s="1"/>
  <c r="K448" i="8" s="1"/>
  <c r="L448" i="8" s="1"/>
  <c r="M448" i="8" s="1"/>
  <c r="N448" i="8" s="1"/>
  <c r="F449" i="8"/>
  <c r="G449" i="8" s="1"/>
  <c r="H449" i="8" s="1"/>
  <c r="I449" i="8" s="1"/>
  <c r="J449" i="8" s="1"/>
  <c r="K449" i="8" s="1"/>
  <c r="L449" i="8" s="1"/>
  <c r="M449" i="8" s="1"/>
  <c r="N449" i="8" s="1"/>
  <c r="F450" i="8"/>
  <c r="G450" i="8" s="1"/>
  <c r="H450" i="8" s="1"/>
  <c r="I450" i="8" s="1"/>
  <c r="J450" i="8" s="1"/>
  <c r="K450" i="8" s="1"/>
  <c r="L450" i="8" s="1"/>
  <c r="M450" i="8" s="1"/>
  <c r="N450" i="8" s="1"/>
  <c r="F451" i="8"/>
  <c r="G451" i="8" s="1"/>
  <c r="H451" i="8" s="1"/>
  <c r="I451" i="8" s="1"/>
  <c r="J451" i="8" s="1"/>
  <c r="K451" i="8" s="1"/>
  <c r="L451" i="8" s="1"/>
  <c r="M451" i="8" s="1"/>
  <c r="N451" i="8" s="1"/>
  <c r="F452" i="8"/>
  <c r="G452" i="8" s="1"/>
  <c r="H452" i="8" s="1"/>
  <c r="I452" i="8" s="1"/>
  <c r="J452" i="8" s="1"/>
  <c r="K452" i="8" s="1"/>
  <c r="L452" i="8" s="1"/>
  <c r="M452" i="8" s="1"/>
  <c r="N452" i="8" s="1"/>
  <c r="F453" i="8"/>
  <c r="G453" i="8" s="1"/>
  <c r="H453" i="8" s="1"/>
  <c r="I453" i="8" s="1"/>
  <c r="J453" i="8" s="1"/>
  <c r="K453" i="8" s="1"/>
  <c r="L453" i="8" s="1"/>
  <c r="M453" i="8" s="1"/>
  <c r="N453" i="8" s="1"/>
  <c r="F454" i="8"/>
  <c r="G454" i="8" s="1"/>
  <c r="H454" i="8" s="1"/>
  <c r="I454" i="8" s="1"/>
  <c r="J454" i="8" s="1"/>
  <c r="K454" i="8" s="1"/>
  <c r="L454" i="8" s="1"/>
  <c r="M454" i="8" s="1"/>
  <c r="N454" i="8" s="1"/>
  <c r="F455" i="8"/>
  <c r="G455" i="8" s="1"/>
  <c r="H455" i="8" s="1"/>
  <c r="I455" i="8" s="1"/>
  <c r="J455" i="8" s="1"/>
  <c r="K455" i="8" s="1"/>
  <c r="L455" i="8" s="1"/>
  <c r="M455" i="8" s="1"/>
  <c r="N455" i="8" s="1"/>
  <c r="F456" i="8"/>
  <c r="G456" i="8" s="1"/>
  <c r="H456" i="8" s="1"/>
  <c r="I456" i="8" s="1"/>
  <c r="J456" i="8" s="1"/>
  <c r="K456" i="8" s="1"/>
  <c r="L456" i="8" s="1"/>
  <c r="M456" i="8" s="1"/>
  <c r="N456" i="8" s="1"/>
  <c r="F457" i="8"/>
  <c r="G457" i="8" s="1"/>
  <c r="H457" i="8" s="1"/>
  <c r="I457" i="8" s="1"/>
  <c r="J457" i="8" s="1"/>
  <c r="K457" i="8" s="1"/>
  <c r="L457" i="8" s="1"/>
  <c r="M457" i="8" s="1"/>
  <c r="N457" i="8" s="1"/>
  <c r="F458" i="8"/>
  <c r="G458" i="8" s="1"/>
  <c r="H458" i="8" s="1"/>
  <c r="I458" i="8" s="1"/>
  <c r="J458" i="8" s="1"/>
  <c r="K458" i="8" s="1"/>
  <c r="L458" i="8" s="1"/>
  <c r="M458" i="8" s="1"/>
  <c r="N458" i="8" s="1"/>
  <c r="F459" i="8"/>
  <c r="G459" i="8" s="1"/>
  <c r="H459" i="8" s="1"/>
  <c r="I459" i="8" s="1"/>
  <c r="J459" i="8" s="1"/>
  <c r="K459" i="8" s="1"/>
  <c r="L459" i="8" s="1"/>
  <c r="M459" i="8" s="1"/>
  <c r="N459" i="8" s="1"/>
  <c r="F460" i="8"/>
  <c r="G460" i="8" s="1"/>
  <c r="H460" i="8" s="1"/>
  <c r="I460" i="8" s="1"/>
  <c r="J460" i="8" s="1"/>
  <c r="K460" i="8" s="1"/>
  <c r="L460" i="8" s="1"/>
  <c r="M460" i="8" s="1"/>
  <c r="N460" i="8" s="1"/>
  <c r="F461" i="8"/>
  <c r="G461" i="8" s="1"/>
  <c r="H461" i="8" s="1"/>
  <c r="I461" i="8" s="1"/>
  <c r="J461" i="8" s="1"/>
  <c r="K461" i="8" s="1"/>
  <c r="L461" i="8" s="1"/>
  <c r="M461" i="8" s="1"/>
  <c r="N461" i="8" s="1"/>
  <c r="F462" i="8"/>
  <c r="G462" i="8" s="1"/>
  <c r="H462" i="8" s="1"/>
  <c r="I462" i="8" s="1"/>
  <c r="J462" i="8" s="1"/>
  <c r="K462" i="8" s="1"/>
  <c r="L462" i="8" s="1"/>
  <c r="M462" i="8" s="1"/>
  <c r="N462" i="8" s="1"/>
  <c r="F463" i="8"/>
  <c r="G463" i="8" s="1"/>
  <c r="H463" i="8" s="1"/>
  <c r="I463" i="8" s="1"/>
  <c r="J463" i="8" s="1"/>
  <c r="K463" i="8" s="1"/>
  <c r="L463" i="8" s="1"/>
  <c r="M463" i="8" s="1"/>
  <c r="N463" i="8" s="1"/>
  <c r="F464" i="8"/>
  <c r="G464" i="8" s="1"/>
  <c r="H464" i="8" s="1"/>
  <c r="I464" i="8" s="1"/>
  <c r="J464" i="8" s="1"/>
  <c r="K464" i="8" s="1"/>
  <c r="L464" i="8" s="1"/>
  <c r="M464" i="8" s="1"/>
  <c r="N464" i="8" s="1"/>
  <c r="F465" i="8"/>
  <c r="G465" i="8" s="1"/>
  <c r="H465" i="8" s="1"/>
  <c r="I465" i="8" s="1"/>
  <c r="J465" i="8" s="1"/>
  <c r="K465" i="8" s="1"/>
  <c r="L465" i="8" s="1"/>
  <c r="M465" i="8" s="1"/>
  <c r="N465" i="8" s="1"/>
  <c r="F466" i="8"/>
  <c r="G466" i="8" s="1"/>
  <c r="H466" i="8" s="1"/>
  <c r="I466" i="8" s="1"/>
  <c r="J466" i="8" s="1"/>
  <c r="K466" i="8" s="1"/>
  <c r="L466" i="8" s="1"/>
  <c r="M466" i="8" s="1"/>
  <c r="N466" i="8" s="1"/>
  <c r="F467" i="8"/>
  <c r="G467" i="8" s="1"/>
  <c r="H467" i="8" s="1"/>
  <c r="I467" i="8" s="1"/>
  <c r="J467" i="8" s="1"/>
  <c r="K467" i="8" s="1"/>
  <c r="L467" i="8" s="1"/>
  <c r="M467" i="8" s="1"/>
  <c r="N467" i="8" s="1"/>
  <c r="F468" i="8"/>
  <c r="G468" i="8" s="1"/>
  <c r="H468" i="8" s="1"/>
  <c r="I468" i="8" s="1"/>
  <c r="J468" i="8" s="1"/>
  <c r="K468" i="8" s="1"/>
  <c r="L468" i="8" s="1"/>
  <c r="M468" i="8" s="1"/>
  <c r="N468" i="8" s="1"/>
  <c r="F469" i="8"/>
  <c r="G469" i="8" s="1"/>
  <c r="H469" i="8" s="1"/>
  <c r="I469" i="8" s="1"/>
  <c r="J469" i="8" s="1"/>
  <c r="K469" i="8" s="1"/>
  <c r="L469" i="8" s="1"/>
  <c r="M469" i="8" s="1"/>
  <c r="N469" i="8" s="1"/>
  <c r="F470" i="8"/>
  <c r="G470" i="8" s="1"/>
  <c r="H470" i="8" s="1"/>
  <c r="I470" i="8" s="1"/>
  <c r="J470" i="8" s="1"/>
  <c r="K470" i="8" s="1"/>
  <c r="L470" i="8" s="1"/>
  <c r="M470" i="8" s="1"/>
  <c r="N470" i="8" s="1"/>
  <c r="F471" i="8"/>
  <c r="G471" i="8" s="1"/>
  <c r="H471" i="8" s="1"/>
  <c r="I471" i="8" s="1"/>
  <c r="J471" i="8" s="1"/>
  <c r="K471" i="8" s="1"/>
  <c r="L471" i="8" s="1"/>
  <c r="M471" i="8" s="1"/>
  <c r="N471" i="8" s="1"/>
  <c r="F472" i="8"/>
  <c r="G472" i="8" s="1"/>
  <c r="H472" i="8" s="1"/>
  <c r="I472" i="8" s="1"/>
  <c r="J472" i="8" s="1"/>
  <c r="K472" i="8" s="1"/>
  <c r="L472" i="8" s="1"/>
  <c r="M472" i="8" s="1"/>
  <c r="N472" i="8" s="1"/>
  <c r="F473" i="8"/>
  <c r="G473" i="8" s="1"/>
  <c r="H473" i="8" s="1"/>
  <c r="I473" i="8" s="1"/>
  <c r="J473" i="8" s="1"/>
  <c r="K473" i="8" s="1"/>
  <c r="L473" i="8" s="1"/>
  <c r="M473" i="8" s="1"/>
  <c r="N473" i="8" s="1"/>
  <c r="F474" i="8"/>
  <c r="G474" i="8" s="1"/>
  <c r="H474" i="8" s="1"/>
  <c r="I474" i="8" s="1"/>
  <c r="J474" i="8" s="1"/>
  <c r="K474" i="8" s="1"/>
  <c r="L474" i="8" s="1"/>
  <c r="M474" i="8" s="1"/>
  <c r="N474" i="8" s="1"/>
  <c r="F475" i="8"/>
  <c r="G475" i="8" s="1"/>
  <c r="H475" i="8" s="1"/>
  <c r="I475" i="8" s="1"/>
  <c r="J475" i="8" s="1"/>
  <c r="K475" i="8" s="1"/>
  <c r="L475" i="8" s="1"/>
  <c r="M475" i="8" s="1"/>
  <c r="N475" i="8" s="1"/>
  <c r="F476" i="8"/>
  <c r="G476" i="8" s="1"/>
  <c r="H476" i="8" s="1"/>
  <c r="I476" i="8" s="1"/>
  <c r="J476" i="8" s="1"/>
  <c r="K476" i="8" s="1"/>
  <c r="L476" i="8" s="1"/>
  <c r="M476" i="8" s="1"/>
  <c r="N476" i="8" s="1"/>
  <c r="F477" i="8"/>
  <c r="G477" i="8" s="1"/>
  <c r="H477" i="8" s="1"/>
  <c r="I477" i="8" s="1"/>
  <c r="J477" i="8" s="1"/>
  <c r="K477" i="8" s="1"/>
  <c r="L477" i="8" s="1"/>
  <c r="M477" i="8" s="1"/>
  <c r="N477" i="8" s="1"/>
  <c r="F478" i="8"/>
  <c r="G478" i="8" s="1"/>
  <c r="H478" i="8" s="1"/>
  <c r="I478" i="8" s="1"/>
  <c r="J478" i="8" s="1"/>
  <c r="K478" i="8" s="1"/>
  <c r="L478" i="8" s="1"/>
  <c r="M478" i="8" s="1"/>
  <c r="N478" i="8" s="1"/>
  <c r="F479" i="8"/>
  <c r="G479" i="8" s="1"/>
  <c r="H479" i="8" s="1"/>
  <c r="I479" i="8" s="1"/>
  <c r="J479" i="8" s="1"/>
  <c r="K479" i="8" s="1"/>
  <c r="L479" i="8" s="1"/>
  <c r="M479" i="8" s="1"/>
  <c r="N479" i="8" s="1"/>
  <c r="F480" i="8"/>
  <c r="G480" i="8" s="1"/>
  <c r="H480" i="8" s="1"/>
  <c r="I480" i="8" s="1"/>
  <c r="J480" i="8" s="1"/>
  <c r="K480" i="8" s="1"/>
  <c r="L480" i="8" s="1"/>
  <c r="M480" i="8" s="1"/>
  <c r="N480" i="8" s="1"/>
  <c r="F481" i="8"/>
  <c r="G481" i="8" s="1"/>
  <c r="H481" i="8" s="1"/>
  <c r="I481" i="8" s="1"/>
  <c r="J481" i="8" s="1"/>
  <c r="K481" i="8" s="1"/>
  <c r="L481" i="8" s="1"/>
  <c r="M481" i="8" s="1"/>
  <c r="N481" i="8" s="1"/>
  <c r="F2" i="8"/>
  <c r="G2" i="8" s="1"/>
  <c r="H2" i="8" s="1"/>
  <c r="I2" i="8" s="1"/>
  <c r="J2" i="8" s="1"/>
  <c r="K2" i="8" s="1"/>
  <c r="L2" i="8" s="1"/>
  <c r="M2" i="8" s="1"/>
  <c r="N2" i="8" s="1"/>
  <c r="C4" i="10" l="1"/>
  <c r="A71" i="14"/>
  <c r="A123" i="14"/>
  <c r="A107" i="14"/>
  <c r="A108" i="14" s="1"/>
  <c r="A109" i="14" s="1"/>
  <c r="B106" i="14"/>
  <c r="A87" i="14"/>
  <c r="A93" i="14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1" i="15"/>
  <c r="AC2" i="12" a="1"/>
  <c r="AC2" i="12" s="1"/>
  <c r="AD2" i="12" a="1"/>
  <c r="AD2" i="12" s="1"/>
  <c r="Y2" i="12" a="1"/>
  <c r="Y2" i="12" s="1"/>
  <c r="AA2" i="12" a="1"/>
  <c r="AA2" i="12" s="1"/>
  <c r="L4" i="9" a="1"/>
  <c r="L4" i="9" s="1"/>
  <c r="G4" i="9"/>
  <c r="F4" i="9"/>
  <c r="E4" i="9"/>
  <c r="D4" i="9"/>
  <c r="C4" i="9"/>
  <c r="B4" i="9"/>
  <c r="B4" i="10" a="1"/>
  <c r="B4" i="10" s="1"/>
  <c r="F4" i="10" a="1"/>
  <c r="F4" i="10" s="1"/>
  <c r="A6" i="11"/>
  <c r="I3" i="9"/>
  <c r="D3" i="10"/>
  <c r="E3" i="10" s="1"/>
  <c r="A5" i="10"/>
  <c r="A5" i="9"/>
  <c r="H3" i="9"/>
  <c r="N2" i="7" a="1"/>
  <c r="N2" i="7" s="1"/>
  <c r="K2" i="7"/>
  <c r="C5" i="10" l="1"/>
  <c r="A88" i="14"/>
  <c r="A110" i="14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40" i="14"/>
  <c r="A124" i="14"/>
  <c r="A125" i="14" s="1"/>
  <c r="A126" i="14" s="1"/>
  <c r="B123" i="14"/>
  <c r="A104" i="14"/>
  <c r="A12" i="15"/>
  <c r="AF2" i="12" a="1"/>
  <c r="AF2" i="12" s="1"/>
  <c r="D5" i="9"/>
  <c r="B5" i="9"/>
  <c r="L5" i="9" a="1"/>
  <c r="L5" i="9" s="1"/>
  <c r="G5" i="9"/>
  <c r="F5" i="9"/>
  <c r="E5" i="9"/>
  <c r="C5" i="9"/>
  <c r="B5" i="10" a="1"/>
  <c r="B5" i="10" s="1"/>
  <c r="F5" i="10" a="1"/>
  <c r="F5" i="10" s="1"/>
  <c r="D4" i="10"/>
  <c r="E4" i="10" s="1"/>
  <c r="A7" i="11"/>
  <c r="J3" i="9"/>
  <c r="K3" i="9" s="1"/>
  <c r="M3" i="9" s="1"/>
  <c r="N3" i="9" s="1"/>
  <c r="A6" i="10"/>
  <c r="G3" i="10"/>
  <c r="H3" i="10" s="1"/>
  <c r="A6" i="9"/>
  <c r="H4" i="9"/>
  <c r="I4" i="9"/>
  <c r="H2" i="7"/>
  <c r="G2" i="7"/>
  <c r="F2" i="7"/>
  <c r="E2" i="7"/>
  <c r="C6" i="10" l="1"/>
  <c r="A121" i="14"/>
  <c r="A105" i="14"/>
  <c r="A127" i="14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B140" i="14"/>
  <c r="A157" i="14"/>
  <c r="A141" i="14"/>
  <c r="A142" i="14" s="1"/>
  <c r="A143" i="14" s="1"/>
  <c r="A13" i="15"/>
  <c r="L6" i="9" a="1"/>
  <c r="L6" i="9" s="1"/>
  <c r="G6" i="9"/>
  <c r="F6" i="9"/>
  <c r="E6" i="9"/>
  <c r="D6" i="9"/>
  <c r="C6" i="9"/>
  <c r="B6" i="9"/>
  <c r="D5" i="10"/>
  <c r="E5" i="10" s="1"/>
  <c r="B6" i="10" a="1"/>
  <c r="B6" i="10" s="1"/>
  <c r="F6" i="10" a="1"/>
  <c r="F6" i="10" s="1"/>
  <c r="A8" i="11"/>
  <c r="G4" i="10"/>
  <c r="H4" i="10" s="1"/>
  <c r="A7" i="10"/>
  <c r="H5" i="9"/>
  <c r="A7" i="9"/>
  <c r="I5" i="9"/>
  <c r="J4" i="9"/>
  <c r="K4" i="9" s="1"/>
  <c r="D2" i="7"/>
  <c r="A3" i="7"/>
  <c r="B3" i="7" l="1" a="1"/>
  <c r="B3" i="7" s="1"/>
  <c r="C3" i="7" a="1"/>
  <c r="C3" i="7" s="1"/>
  <c r="D6" i="10"/>
  <c r="E6" i="10" s="1"/>
  <c r="G6" i="10" s="1"/>
  <c r="H6" i="10" s="1"/>
  <c r="B157" i="14"/>
  <c r="A174" i="14"/>
  <c r="A158" i="14"/>
  <c r="A159" i="14" s="1"/>
  <c r="A160" i="14" s="1"/>
  <c r="A144" i="14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38" i="14"/>
  <c r="A122" i="14"/>
  <c r="A14" i="15"/>
  <c r="C7" i="9"/>
  <c r="G7" i="9"/>
  <c r="F7" i="9"/>
  <c r="E7" i="9"/>
  <c r="L7" i="9" a="1"/>
  <c r="L7" i="9" s="1"/>
  <c r="D7" i="9"/>
  <c r="B7" i="9"/>
  <c r="B7" i="10" a="1"/>
  <c r="B7" i="10" s="1"/>
  <c r="F7" i="10" a="1"/>
  <c r="F7" i="10" s="1"/>
  <c r="C7" i="10"/>
  <c r="A9" i="11"/>
  <c r="A8" i="10"/>
  <c r="G5" i="10"/>
  <c r="H5" i="10" s="1"/>
  <c r="H6" i="9"/>
  <c r="A8" i="9"/>
  <c r="M4" i="9"/>
  <c r="N4" i="9" s="1"/>
  <c r="I6" i="9"/>
  <c r="J5" i="9"/>
  <c r="K5" i="9" s="1"/>
  <c r="A4" i="7"/>
  <c r="N3" i="7" a="1"/>
  <c r="N3" i="7" s="1"/>
  <c r="H3" i="7"/>
  <c r="G3" i="7"/>
  <c r="F3" i="7"/>
  <c r="J2" i="7"/>
  <c r="D3" i="7"/>
  <c r="E3" i="7"/>
  <c r="L20" i="1"/>
  <c r="M20" i="1"/>
  <c r="L19" i="1"/>
  <c r="M19" i="1"/>
  <c r="L18" i="1"/>
  <c r="M18" i="1"/>
  <c r="L17" i="1"/>
  <c r="M17" i="1"/>
  <c r="L7" i="6"/>
  <c r="M7" i="6"/>
  <c r="L6" i="6"/>
  <c r="M6" i="6"/>
  <c r="L16" i="1"/>
  <c r="M16" i="1"/>
  <c r="L15" i="1"/>
  <c r="M15" i="1"/>
  <c r="L4" i="1"/>
  <c r="M4" i="1"/>
  <c r="L5" i="1"/>
  <c r="M5" i="1"/>
  <c r="L6" i="1"/>
  <c r="M6" i="1"/>
  <c r="L7" i="1"/>
  <c r="M7" i="1"/>
  <c r="B2" i="4" a="1"/>
  <c r="B2" i="4" s="1"/>
  <c r="I3" i="7" l="1" a="1"/>
  <c r="I3" i="7" s="1"/>
  <c r="J3" i="7" s="1"/>
  <c r="W2" i="4" a="1"/>
  <c r="W2" i="4" s="1"/>
  <c r="D2" i="4" a="1"/>
  <c r="D2" i="4" s="1"/>
  <c r="C2" i="4" a="1"/>
  <c r="C2" i="4" s="1"/>
  <c r="B4" i="7" a="1"/>
  <c r="B4" i="7" s="1"/>
  <c r="C4" i="7" a="1"/>
  <c r="C4" i="7" s="1"/>
  <c r="B174" i="14"/>
  <c r="A191" i="14"/>
  <c r="A175" i="14"/>
  <c r="A176" i="14" s="1"/>
  <c r="A177" i="14" s="1"/>
  <c r="A155" i="14"/>
  <c r="A139" i="14"/>
  <c r="A161" i="14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5" i="15"/>
  <c r="N19" i="1"/>
  <c r="N20" i="1"/>
  <c r="L8" i="9" a="1"/>
  <c r="L8" i="9" s="1"/>
  <c r="G8" i="9"/>
  <c r="F8" i="9"/>
  <c r="E8" i="9"/>
  <c r="D8" i="9"/>
  <c r="C8" i="9"/>
  <c r="B8" i="9"/>
  <c r="C8" i="10"/>
  <c r="B8" i="10" a="1"/>
  <c r="B8" i="10" s="1"/>
  <c r="F8" i="10" a="1"/>
  <c r="F8" i="10" s="1"/>
  <c r="D7" i="10"/>
  <c r="E7" i="10" s="1"/>
  <c r="A10" i="11"/>
  <c r="A9" i="10"/>
  <c r="H7" i="9"/>
  <c r="A9" i="9"/>
  <c r="M5" i="9"/>
  <c r="N5" i="9" s="1"/>
  <c r="I7" i="9"/>
  <c r="J6" i="9"/>
  <c r="K6" i="9" s="1"/>
  <c r="A5" i="7"/>
  <c r="N4" i="7" a="1"/>
  <c r="N4" i="7" s="1"/>
  <c r="H4" i="7"/>
  <c r="G4" i="7"/>
  <c r="F4" i="7"/>
  <c r="E4" i="7"/>
  <c r="D4" i="7"/>
  <c r="L2" i="7"/>
  <c r="K3" i="7"/>
  <c r="N6" i="6"/>
  <c r="N18" i="1"/>
  <c r="N15" i="1"/>
  <c r="N5" i="1"/>
  <c r="N17" i="1"/>
  <c r="N7" i="6"/>
  <c r="N16" i="1"/>
  <c r="N7" i="1"/>
  <c r="N4" i="1"/>
  <c r="N6" i="1"/>
  <c r="L14" i="1"/>
  <c r="M14" i="1"/>
  <c r="I4" i="7" l="1" a="1"/>
  <c r="I4" i="7" s="1"/>
  <c r="J4" i="7" s="1"/>
  <c r="B5" i="7" a="1"/>
  <c r="B5" i="7" s="1"/>
  <c r="C5" i="7" a="1"/>
  <c r="C5" i="7" s="1"/>
  <c r="D8" i="10"/>
  <c r="A172" i="14"/>
  <c r="A156" i="14"/>
  <c r="A178" i="14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92" i="14"/>
  <c r="A193" i="14" s="1"/>
  <c r="A194" i="14" s="1"/>
  <c r="B191" i="14"/>
  <c r="C9" i="9"/>
  <c r="B9" i="9"/>
  <c r="L9" i="9" a="1"/>
  <c r="L9" i="9" s="1"/>
  <c r="G9" i="9"/>
  <c r="F9" i="9"/>
  <c r="E9" i="9"/>
  <c r="D9" i="9"/>
  <c r="B9" i="10" a="1"/>
  <c r="B9" i="10" s="1"/>
  <c r="F9" i="10" a="1"/>
  <c r="F9" i="10" s="1"/>
  <c r="C9" i="10"/>
  <c r="A11" i="11"/>
  <c r="G7" i="10"/>
  <c r="H7" i="10" s="1"/>
  <c r="A10" i="10"/>
  <c r="A10" i="9"/>
  <c r="H8" i="9"/>
  <c r="M6" i="9"/>
  <c r="N6" i="9" s="1"/>
  <c r="I8" i="9"/>
  <c r="J7" i="9"/>
  <c r="K7" i="9" s="1"/>
  <c r="M2" i="7"/>
  <c r="O2" i="7" s="1"/>
  <c r="L3" i="7"/>
  <c r="A6" i="7"/>
  <c r="N5" i="7" a="1"/>
  <c r="N5" i="7" s="1"/>
  <c r="F5" i="7"/>
  <c r="H5" i="7"/>
  <c r="G5" i="7"/>
  <c r="D5" i="7"/>
  <c r="E5" i="7"/>
  <c r="K4" i="7"/>
  <c r="N14" i="1"/>
  <c r="L13" i="1"/>
  <c r="M13" i="1"/>
  <c r="I5" i="7" l="1" a="1"/>
  <c r="I5" i="7" s="1"/>
  <c r="J5" i="7" s="1"/>
  <c r="B6" i="7" a="1"/>
  <c r="B6" i="7" s="1"/>
  <c r="C6" i="7" a="1"/>
  <c r="C6" i="7" s="1"/>
  <c r="A189" i="14"/>
  <c r="A195" i="14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173" i="14"/>
  <c r="D9" i="10"/>
  <c r="D10" i="9"/>
  <c r="C10" i="9"/>
  <c r="G10" i="9"/>
  <c r="F10" i="9"/>
  <c r="B10" i="9"/>
  <c r="E10" i="9"/>
  <c r="L10" i="9" a="1"/>
  <c r="L10" i="9" s="1"/>
  <c r="C10" i="10"/>
  <c r="B10" i="10" a="1"/>
  <c r="B10" i="10" s="1"/>
  <c r="F10" i="10" a="1"/>
  <c r="F10" i="10" s="1"/>
  <c r="A12" i="11"/>
  <c r="E8" i="10"/>
  <c r="G8" i="10" s="1"/>
  <c r="H8" i="10" s="1"/>
  <c r="A11" i="10"/>
  <c r="H9" i="9"/>
  <c r="A11" i="9"/>
  <c r="M7" i="9"/>
  <c r="N7" i="9" s="1"/>
  <c r="I9" i="9"/>
  <c r="J8" i="9"/>
  <c r="K8" i="9" s="1"/>
  <c r="P2" i="7"/>
  <c r="B2" i="11" s="1"/>
  <c r="M3" i="7"/>
  <c r="O3" i="7" s="1"/>
  <c r="L4" i="7"/>
  <c r="K5" i="7"/>
  <c r="A7" i="7"/>
  <c r="N6" i="7" a="1"/>
  <c r="N6" i="7" s="1"/>
  <c r="H6" i="7"/>
  <c r="G6" i="7"/>
  <c r="F6" i="7"/>
  <c r="D6" i="7"/>
  <c r="E6" i="7"/>
  <c r="N13" i="1"/>
  <c r="L5" i="6"/>
  <c r="M5" i="6"/>
  <c r="L4" i="6"/>
  <c r="M4" i="6"/>
  <c r="L12" i="1"/>
  <c r="M12" i="1"/>
  <c r="I6" i="7" l="1" a="1"/>
  <c r="I6" i="7" s="1"/>
  <c r="J6" i="7" s="1"/>
  <c r="B7" i="7" a="1"/>
  <c r="B7" i="7" s="1"/>
  <c r="C7" i="7" a="1"/>
  <c r="C7" i="7" s="1"/>
  <c r="A206" i="14"/>
  <c r="A190" i="14"/>
  <c r="D10" i="10"/>
  <c r="L11" i="9" a="1"/>
  <c r="L11" i="9" s="1"/>
  <c r="G11" i="9"/>
  <c r="F11" i="9"/>
  <c r="E11" i="9"/>
  <c r="D11" i="9"/>
  <c r="C11" i="9"/>
  <c r="B11" i="9"/>
  <c r="B11" i="10" a="1"/>
  <c r="B11" i="10" s="1"/>
  <c r="F11" i="10" a="1"/>
  <c r="F11" i="10" s="1"/>
  <c r="C11" i="10"/>
  <c r="A13" i="11"/>
  <c r="A12" i="10"/>
  <c r="E9" i="10"/>
  <c r="H10" i="9"/>
  <c r="A12" i="9"/>
  <c r="M8" i="9"/>
  <c r="N8" i="9" s="1"/>
  <c r="I10" i="9"/>
  <c r="J9" i="9"/>
  <c r="K9" i="9" s="1"/>
  <c r="M4" i="7"/>
  <c r="O4" i="7" s="1"/>
  <c r="P3" i="7"/>
  <c r="B3" i="11" s="1"/>
  <c r="L5" i="7"/>
  <c r="M5" i="7" s="1"/>
  <c r="O5" i="7" s="1"/>
  <c r="K6" i="7"/>
  <c r="A8" i="7"/>
  <c r="N7" i="7" a="1"/>
  <c r="N7" i="7" s="1"/>
  <c r="H7" i="7"/>
  <c r="G7" i="7"/>
  <c r="F7" i="7"/>
  <c r="E7" i="7"/>
  <c r="D7" i="7"/>
  <c r="N5" i="6"/>
  <c r="N4" i="6"/>
  <c r="N12" i="1"/>
  <c r="L11" i="1"/>
  <c r="M11" i="1"/>
  <c r="I7" i="7" l="1" a="1"/>
  <c r="I7" i="7" s="1"/>
  <c r="J7" i="7" s="1"/>
  <c r="B8" i="7" a="1"/>
  <c r="B8" i="7" s="1"/>
  <c r="C8" i="7" a="1"/>
  <c r="C8" i="7" s="1"/>
  <c r="A207" i="14"/>
  <c r="L12" i="9" a="1"/>
  <c r="L12" i="9" s="1"/>
  <c r="G12" i="9"/>
  <c r="F12" i="9"/>
  <c r="E12" i="9"/>
  <c r="D12" i="9"/>
  <c r="C12" i="9"/>
  <c r="B12" i="9"/>
  <c r="D11" i="10"/>
  <c r="E11" i="10" s="1"/>
  <c r="C12" i="10"/>
  <c r="B12" i="10" a="1"/>
  <c r="B12" i="10" s="1"/>
  <c r="F12" i="10" a="1"/>
  <c r="F12" i="10" s="1"/>
  <c r="A14" i="11"/>
  <c r="E10" i="10"/>
  <c r="G10" i="10" s="1"/>
  <c r="H10" i="10" s="1"/>
  <c r="A13" i="10"/>
  <c r="G9" i="10"/>
  <c r="H9" i="10" s="1"/>
  <c r="A13" i="9"/>
  <c r="H11" i="9"/>
  <c r="I11" i="9"/>
  <c r="J10" i="9"/>
  <c r="K10" i="9" s="1"/>
  <c r="M9" i="9"/>
  <c r="N9" i="9" s="1"/>
  <c r="P4" i="7"/>
  <c r="B4" i="11" s="1"/>
  <c r="L6" i="7"/>
  <c r="P5" i="7"/>
  <c r="B5" i="11" s="1"/>
  <c r="K7" i="7"/>
  <c r="A9" i="7"/>
  <c r="N8" i="7" a="1"/>
  <c r="N8" i="7" s="1"/>
  <c r="F8" i="7"/>
  <c r="H8" i="7"/>
  <c r="G8" i="7"/>
  <c r="D8" i="7"/>
  <c r="E8" i="7"/>
  <c r="N11" i="1"/>
  <c r="L10" i="1"/>
  <c r="M10" i="1"/>
  <c r="I8" i="7" l="1" a="1"/>
  <c r="I8" i="7" s="1"/>
  <c r="J8" i="7" s="1"/>
  <c r="B9" i="7" a="1"/>
  <c r="B9" i="7" s="1"/>
  <c r="C9" i="7" a="1"/>
  <c r="C9" i="7" s="1"/>
  <c r="D12" i="10"/>
  <c r="E13" i="9"/>
  <c r="C13" i="9"/>
  <c r="L13" i="9" a="1"/>
  <c r="L13" i="9" s="1"/>
  <c r="G13" i="9"/>
  <c r="F13" i="9"/>
  <c r="D13" i="9"/>
  <c r="B13" i="9"/>
  <c r="C13" i="10"/>
  <c r="B13" i="10" a="1"/>
  <c r="B13" i="10" s="1"/>
  <c r="F13" i="10" a="1"/>
  <c r="F13" i="10" s="1"/>
  <c r="A15" i="11"/>
  <c r="G11" i="10"/>
  <c r="H11" i="10" s="1"/>
  <c r="A14" i="10"/>
  <c r="A14" i="9"/>
  <c r="H12" i="9"/>
  <c r="M10" i="9"/>
  <c r="N10" i="9" s="1"/>
  <c r="I12" i="9"/>
  <c r="J11" i="9"/>
  <c r="K11" i="9" s="1"/>
  <c r="M6" i="7"/>
  <c r="O6" i="7" s="1"/>
  <c r="P6" i="7" s="1"/>
  <c r="B6" i="11" s="1"/>
  <c r="L7" i="7"/>
  <c r="M7" i="7" s="1"/>
  <c r="O7" i="7" s="1"/>
  <c r="K8" i="7"/>
  <c r="A10" i="7"/>
  <c r="N9" i="7" a="1"/>
  <c r="N9" i="7" s="1"/>
  <c r="F9" i="7"/>
  <c r="H9" i="7"/>
  <c r="G9" i="7"/>
  <c r="E9" i="7"/>
  <c r="D9" i="7"/>
  <c r="N10" i="1"/>
  <c r="L3" i="6"/>
  <c r="M3" i="6"/>
  <c r="M2" i="6"/>
  <c r="L2" i="6"/>
  <c r="I9" i="7" l="1" a="1"/>
  <c r="I9" i="7" s="1"/>
  <c r="J9" i="7" s="1"/>
  <c r="B10" i="7" a="1"/>
  <c r="B10" i="7" s="1"/>
  <c r="C10" i="7" a="1"/>
  <c r="C10" i="7" s="1"/>
  <c r="D13" i="10"/>
  <c r="E13" i="10" s="1"/>
  <c r="L14" i="9" a="1"/>
  <c r="L14" i="9" s="1"/>
  <c r="F18" i="14" s="1"/>
  <c r="G14" i="9"/>
  <c r="E7" i="14" s="1"/>
  <c r="F14" i="9"/>
  <c r="E15" i="14" s="1"/>
  <c r="E14" i="9"/>
  <c r="E11" i="14" s="1"/>
  <c r="D14" i="9"/>
  <c r="C14" i="9"/>
  <c r="B14" i="9"/>
  <c r="C14" i="10"/>
  <c r="C4" i="15" s="1"/>
  <c r="B14" i="10" a="1"/>
  <c r="B14" i="10" s="1"/>
  <c r="B4" i="15" s="1"/>
  <c r="F14" i="10" a="1"/>
  <c r="F14" i="10" s="1"/>
  <c r="D4" i="15" s="1"/>
  <c r="A16" i="11"/>
  <c r="L8" i="7"/>
  <c r="M8" i="7" s="1"/>
  <c r="O8" i="7" s="1"/>
  <c r="E12" i="10"/>
  <c r="A15" i="10"/>
  <c r="H13" i="9"/>
  <c r="A15" i="9"/>
  <c r="I13" i="9"/>
  <c r="J12" i="9"/>
  <c r="K12" i="9" s="1"/>
  <c r="M11" i="9"/>
  <c r="N11" i="9" s="1"/>
  <c r="P7" i="7"/>
  <c r="B7" i="11" s="1"/>
  <c r="K9" i="7"/>
  <c r="A11" i="7"/>
  <c r="N10" i="7" a="1"/>
  <c r="N10" i="7" s="1"/>
  <c r="H10" i="7"/>
  <c r="F10" i="7"/>
  <c r="G10" i="7"/>
  <c r="D10" i="7"/>
  <c r="E10" i="7"/>
  <c r="N3" i="6"/>
  <c r="N2" i="6"/>
  <c r="I10" i="7" l="1" a="1"/>
  <c r="I10" i="7" s="1"/>
  <c r="J10" i="7" s="1"/>
  <c r="B11" i="7" a="1"/>
  <c r="B11" i="7" s="1"/>
  <c r="C11" i="7" a="1"/>
  <c r="C11" i="7" s="1"/>
  <c r="E4" i="14"/>
  <c r="D14" i="10"/>
  <c r="E14" i="10" s="1"/>
  <c r="F15" i="9"/>
  <c r="E32" i="14" s="1"/>
  <c r="E15" i="9"/>
  <c r="E28" i="14" s="1"/>
  <c r="D15" i="9"/>
  <c r="B15" i="9"/>
  <c r="L15" i="9" a="1"/>
  <c r="L15" i="9" s="1"/>
  <c r="F35" i="14" s="1"/>
  <c r="C15" i="9"/>
  <c r="G15" i="9"/>
  <c r="E24" i="14" s="1"/>
  <c r="B15" i="10" a="1"/>
  <c r="B15" i="10" s="1"/>
  <c r="B5" i="15" s="1"/>
  <c r="F15" i="10" a="1"/>
  <c r="F15" i="10" s="1"/>
  <c r="D5" i="15" s="1"/>
  <c r="C15" i="10"/>
  <c r="A17" i="11"/>
  <c r="L9" i="7"/>
  <c r="M9" i="7" s="1"/>
  <c r="O9" i="7" s="1"/>
  <c r="P9" i="7" s="1"/>
  <c r="B9" i="11" s="1"/>
  <c r="G12" i="10"/>
  <c r="H12" i="10" s="1"/>
  <c r="G13" i="10"/>
  <c r="H13" i="10" s="1"/>
  <c r="A16" i="10"/>
  <c r="H14" i="9"/>
  <c r="A16" i="9"/>
  <c r="M12" i="9"/>
  <c r="N12" i="9" s="1"/>
  <c r="I14" i="9"/>
  <c r="E17" i="14" s="1"/>
  <c r="J13" i="9"/>
  <c r="K13" i="9" s="1"/>
  <c r="K10" i="7"/>
  <c r="P8" i="7"/>
  <c r="B8" i="11" s="1"/>
  <c r="A12" i="7"/>
  <c r="N11" i="7" a="1"/>
  <c r="N11" i="7" s="1"/>
  <c r="H11" i="7"/>
  <c r="G11" i="7"/>
  <c r="F11" i="7"/>
  <c r="D11" i="7"/>
  <c r="E11" i="7"/>
  <c r="L9" i="1"/>
  <c r="M9" i="1"/>
  <c r="L8" i="1"/>
  <c r="M8" i="1"/>
  <c r="I11" i="7" l="1" a="1"/>
  <c r="I11" i="7" s="1"/>
  <c r="J11" i="7" s="1"/>
  <c r="B12" i="7" a="1"/>
  <c r="B12" i="7" s="1"/>
  <c r="C12" i="7" a="1"/>
  <c r="C12" i="7" s="1"/>
  <c r="E21" i="14"/>
  <c r="D15" i="10"/>
  <c r="E15" i="10" s="1"/>
  <c r="L16" i="9" a="1"/>
  <c r="L16" i="9" s="1"/>
  <c r="F52" i="14" s="1"/>
  <c r="G16" i="9"/>
  <c r="E41" i="14" s="1"/>
  <c r="F16" i="9"/>
  <c r="E49" i="14" s="1"/>
  <c r="E16" i="9"/>
  <c r="E45" i="14" s="1"/>
  <c r="D16" i="9"/>
  <c r="C16" i="9"/>
  <c r="B16" i="9"/>
  <c r="C16" i="10"/>
  <c r="B16" i="10" a="1"/>
  <c r="B16" i="10" s="1"/>
  <c r="B6" i="15" s="1"/>
  <c r="F16" i="10" a="1"/>
  <c r="F16" i="10" s="1"/>
  <c r="D6" i="15" s="1"/>
  <c r="A18" i="11"/>
  <c r="G14" i="10"/>
  <c r="H14" i="10" s="1"/>
  <c r="A17" i="10"/>
  <c r="L10" i="7"/>
  <c r="M10" i="7" s="1"/>
  <c r="O10" i="7" s="1"/>
  <c r="H15" i="9"/>
  <c r="A17" i="9"/>
  <c r="M13" i="9"/>
  <c r="N13" i="9" s="1"/>
  <c r="I15" i="9"/>
  <c r="J14" i="9"/>
  <c r="K14" i="9" s="1"/>
  <c r="A13" i="7"/>
  <c r="N12" i="7" a="1"/>
  <c r="N12" i="7" s="1"/>
  <c r="H12" i="7"/>
  <c r="G12" i="7"/>
  <c r="F12" i="7"/>
  <c r="D12" i="7"/>
  <c r="E12" i="7"/>
  <c r="K11" i="7"/>
  <c r="N9" i="1"/>
  <c r="N8" i="1"/>
  <c r="L2" i="1"/>
  <c r="L3" i="1"/>
  <c r="M2" i="1"/>
  <c r="M3" i="1"/>
  <c r="D1" i="2"/>
  <c r="I12" i="7" l="1" a="1"/>
  <c r="I12" i="7" s="1"/>
  <c r="J12" i="7" s="1"/>
  <c r="B13" i="7" a="1"/>
  <c r="B13" i="7" s="1"/>
  <c r="C13" i="7" a="1"/>
  <c r="C13" i="7" s="1"/>
  <c r="E38" i="14"/>
  <c r="D16" i="10"/>
  <c r="D17" i="9"/>
  <c r="C17" i="9"/>
  <c r="L17" i="9" a="1"/>
  <c r="L17" i="9" s="1"/>
  <c r="F69" i="14" s="1"/>
  <c r="G17" i="9"/>
  <c r="E58" i="14" s="1"/>
  <c r="F17" i="9"/>
  <c r="E66" i="14" s="1"/>
  <c r="E17" i="9"/>
  <c r="E62" i="14" s="1"/>
  <c r="B17" i="9"/>
  <c r="B17" i="10" a="1"/>
  <c r="B17" i="10" s="1"/>
  <c r="B7" i="15" s="1"/>
  <c r="F17" i="10" a="1"/>
  <c r="F17" i="10" s="1"/>
  <c r="D7" i="15" s="1"/>
  <c r="C17" i="10"/>
  <c r="A19" i="11"/>
  <c r="G15" i="10"/>
  <c r="H15" i="10" s="1"/>
  <c r="A18" i="10"/>
  <c r="A18" i="9"/>
  <c r="H16" i="9"/>
  <c r="I16" i="9"/>
  <c r="J15" i="9"/>
  <c r="K15" i="9" s="1"/>
  <c r="L11" i="7"/>
  <c r="M11" i="7" s="1"/>
  <c r="O11" i="7" s="1"/>
  <c r="P10" i="7"/>
  <c r="B10" i="11" s="1"/>
  <c r="K12" i="7"/>
  <c r="A14" i="7"/>
  <c r="N13" i="7" a="1"/>
  <c r="N13" i="7" s="1"/>
  <c r="F13" i="7"/>
  <c r="H13" i="7"/>
  <c r="G13" i="7"/>
  <c r="D13" i="7"/>
  <c r="E13" i="7"/>
  <c r="N3" i="1"/>
  <c r="N2" i="1"/>
  <c r="F2" i="4" a="1"/>
  <c r="F2" i="4" s="1"/>
  <c r="R2" i="4" s="1" a="1"/>
  <c r="R2" i="4" s="1"/>
  <c r="I13" i="7" l="1" a="1"/>
  <c r="I13" i="7" s="1"/>
  <c r="J13" i="7" s="1"/>
  <c r="B14" i="7" a="1"/>
  <c r="B14" i="7" s="1"/>
  <c r="C14" i="7" a="1"/>
  <c r="C14" i="7" s="1"/>
  <c r="E55" i="14"/>
  <c r="D17" i="10"/>
  <c r="D18" i="9"/>
  <c r="G18" i="9"/>
  <c r="E75" i="14" s="1"/>
  <c r="L18" i="9" a="1"/>
  <c r="L18" i="9" s="1"/>
  <c r="F86" i="14" s="1"/>
  <c r="F18" i="9"/>
  <c r="E83" i="14" s="1"/>
  <c r="E18" i="9"/>
  <c r="E79" i="14" s="1"/>
  <c r="B18" i="9"/>
  <c r="C18" i="9"/>
  <c r="B18" i="10" a="1"/>
  <c r="B18" i="10" s="1"/>
  <c r="B8" i="15" s="1"/>
  <c r="F18" i="10" a="1"/>
  <c r="F18" i="10" s="1"/>
  <c r="D8" i="15" s="1"/>
  <c r="C18" i="10"/>
  <c r="A20" i="11"/>
  <c r="E16" i="10"/>
  <c r="A19" i="10"/>
  <c r="A19" i="9"/>
  <c r="H17" i="9"/>
  <c r="M15" i="9"/>
  <c r="N15" i="9" s="1"/>
  <c r="I17" i="9"/>
  <c r="J16" i="9"/>
  <c r="K16" i="9" s="1"/>
  <c r="L12" i="7"/>
  <c r="P11" i="7"/>
  <c r="B11" i="11" s="1"/>
  <c r="A15" i="7"/>
  <c r="N14" i="7" a="1"/>
  <c r="N14" i="7" s="1"/>
  <c r="F19" i="14" s="1"/>
  <c r="F14" i="7"/>
  <c r="D11" i="14" s="1"/>
  <c r="H14" i="7"/>
  <c r="D7" i="14" s="1"/>
  <c r="G14" i="7"/>
  <c r="D15" i="14" s="1"/>
  <c r="E14" i="7"/>
  <c r="D14" i="7"/>
  <c r="K13" i="7"/>
  <c r="I2" i="4" a="1"/>
  <c r="I2" i="4" s="1"/>
  <c r="G2" i="4" a="1"/>
  <c r="G2" i="4" s="1"/>
  <c r="J2" i="4" a="1"/>
  <c r="J2" i="4" s="1"/>
  <c r="I14" i="7" l="1" a="1"/>
  <c r="I14" i="7" s="1"/>
  <c r="B15" i="7" a="1"/>
  <c r="B15" i="7" s="1"/>
  <c r="C15" i="7" a="1"/>
  <c r="C15" i="7" s="1"/>
  <c r="E72" i="14"/>
  <c r="D18" i="10"/>
  <c r="E18" i="10" s="1"/>
  <c r="L19" i="9" a="1"/>
  <c r="L19" i="9" s="1"/>
  <c r="F103" i="14" s="1"/>
  <c r="G19" i="9"/>
  <c r="E92" i="14" s="1"/>
  <c r="F19" i="9"/>
  <c r="E100" i="14" s="1"/>
  <c r="E19" i="9"/>
  <c r="E96" i="14" s="1"/>
  <c r="D19" i="9"/>
  <c r="C19" i="9"/>
  <c r="B19" i="9"/>
  <c r="B19" i="10" a="1"/>
  <c r="B19" i="10" s="1"/>
  <c r="B9" i="15" s="1"/>
  <c r="F19" i="10" a="1"/>
  <c r="F19" i="10" s="1"/>
  <c r="D9" i="15" s="1"/>
  <c r="C19" i="10"/>
  <c r="A21" i="11"/>
  <c r="E17" i="10"/>
  <c r="A20" i="10"/>
  <c r="H18" i="9"/>
  <c r="A20" i="9"/>
  <c r="I18" i="9"/>
  <c r="J17" i="9"/>
  <c r="K17" i="9" s="1"/>
  <c r="M12" i="7"/>
  <c r="O12" i="7" s="1"/>
  <c r="P12" i="7" s="1"/>
  <c r="B12" i="11" s="1"/>
  <c r="L13" i="7"/>
  <c r="M13" i="7" s="1"/>
  <c r="O13" i="7" s="1"/>
  <c r="K14" i="7"/>
  <c r="D17" i="14" s="1"/>
  <c r="A16" i="7"/>
  <c r="N15" i="7" a="1"/>
  <c r="N15" i="7" s="1"/>
  <c r="F36" i="14" s="1"/>
  <c r="H15" i="7"/>
  <c r="D24" i="14" s="1"/>
  <c r="G15" i="7"/>
  <c r="D32" i="14" s="1"/>
  <c r="F15" i="7"/>
  <c r="D28" i="14" s="1"/>
  <c r="D15" i="7"/>
  <c r="E15" i="7"/>
  <c r="K2" i="4" a="1"/>
  <c r="K2" i="4" s="1"/>
  <c r="H2" i="4" a="1"/>
  <c r="H2" i="4" s="1"/>
  <c r="I15" i="7" l="1" a="1"/>
  <c r="I15" i="7" s="1"/>
  <c r="L2" i="4" a="1"/>
  <c r="L2" i="4" s="1"/>
  <c r="X2" i="4" a="1"/>
  <c r="X2" i="4" s="1"/>
  <c r="B16" i="7" a="1"/>
  <c r="B16" i="7" s="1"/>
  <c r="C16" i="7" a="1"/>
  <c r="C16" i="7" s="1"/>
  <c r="E89" i="14"/>
  <c r="J14" i="7"/>
  <c r="K15" i="7" s="1"/>
  <c r="D4" i="14"/>
  <c r="D19" i="10"/>
  <c r="L20" i="9" a="1"/>
  <c r="L20" i="9" s="1"/>
  <c r="F120" i="14" s="1"/>
  <c r="G20" i="9"/>
  <c r="E109" i="14" s="1"/>
  <c r="F20" i="9"/>
  <c r="E117" i="14" s="1"/>
  <c r="E20" i="9"/>
  <c r="E113" i="14" s="1"/>
  <c r="D20" i="9"/>
  <c r="C20" i="9"/>
  <c r="B20" i="9"/>
  <c r="C20" i="10"/>
  <c r="B20" i="10" a="1"/>
  <c r="B20" i="10" s="1"/>
  <c r="B10" i="15" s="1"/>
  <c r="F20" i="10" a="1"/>
  <c r="F20" i="10" s="1"/>
  <c r="D10" i="15" s="1"/>
  <c r="A22" i="11"/>
  <c r="G17" i="10"/>
  <c r="H17" i="10" s="1"/>
  <c r="A21" i="10"/>
  <c r="H19" i="9"/>
  <c r="A21" i="9"/>
  <c r="I19" i="9"/>
  <c r="J18" i="9"/>
  <c r="K18" i="9" s="1"/>
  <c r="P13" i="7"/>
  <c r="B13" i="11" s="1"/>
  <c r="A17" i="7"/>
  <c r="N16" i="7" a="1"/>
  <c r="N16" i="7" s="1"/>
  <c r="F53" i="14" s="1"/>
  <c r="H16" i="7"/>
  <c r="D41" i="14" s="1"/>
  <c r="G16" i="7"/>
  <c r="D49" i="14" s="1"/>
  <c r="F16" i="7"/>
  <c r="D45" i="14" s="1"/>
  <c r="E16" i="7"/>
  <c r="D16" i="7"/>
  <c r="I16" i="7" l="1" a="1"/>
  <c r="I16" i="7" s="1"/>
  <c r="Q2" i="4" a="1"/>
  <c r="Q2" i="4" s="1"/>
  <c r="AR2" i="4"/>
  <c r="N2" i="4" a="1"/>
  <c r="N2" i="4" s="1"/>
  <c r="AI2" i="4"/>
  <c r="P2" i="4" a="1"/>
  <c r="P2" i="4" s="1"/>
  <c r="M2" i="4" a="1"/>
  <c r="M2" i="4" s="1"/>
  <c r="O2" i="4" a="1"/>
  <c r="O2" i="4" s="1"/>
  <c r="S2" i="4" s="1" a="1"/>
  <c r="B17" i="7" a="1"/>
  <c r="B17" i="7" s="1"/>
  <c r="C17" i="7" a="1"/>
  <c r="C17" i="7" s="1"/>
  <c r="L14" i="7"/>
  <c r="M14" i="7" s="1"/>
  <c r="O14" i="7" s="1"/>
  <c r="E106" i="14"/>
  <c r="J15" i="7"/>
  <c r="K16" i="7" s="1"/>
  <c r="D21" i="14"/>
  <c r="D20" i="10"/>
  <c r="E20" i="10" s="1"/>
  <c r="F21" i="9"/>
  <c r="E134" i="14" s="1"/>
  <c r="D21" i="9"/>
  <c r="B21" i="9"/>
  <c r="L21" i="9" a="1"/>
  <c r="L21" i="9" s="1"/>
  <c r="F137" i="14" s="1"/>
  <c r="G21" i="9"/>
  <c r="E126" i="14" s="1"/>
  <c r="E21" i="9"/>
  <c r="E130" i="14" s="1"/>
  <c r="C21" i="9"/>
  <c r="B21" i="10" a="1"/>
  <c r="B21" i="10" s="1"/>
  <c r="B11" i="15" s="1"/>
  <c r="F21" i="10" a="1"/>
  <c r="F21" i="10" s="1"/>
  <c r="D11" i="15" s="1"/>
  <c r="C21" i="10"/>
  <c r="A23" i="11"/>
  <c r="E19" i="10"/>
  <c r="A22" i="10"/>
  <c r="A22" i="9"/>
  <c r="H20" i="9"/>
  <c r="M18" i="9"/>
  <c r="N18" i="9" s="1"/>
  <c r="I20" i="9"/>
  <c r="J19" i="9"/>
  <c r="K19" i="9" s="1"/>
  <c r="A18" i="7"/>
  <c r="N17" i="7" a="1"/>
  <c r="N17" i="7" s="1"/>
  <c r="F70" i="14" s="1"/>
  <c r="F17" i="7"/>
  <c r="D62" i="14" s="1"/>
  <c r="H17" i="7"/>
  <c r="D58" i="14" s="1"/>
  <c r="G17" i="7"/>
  <c r="D66" i="14" s="1"/>
  <c r="E17" i="7"/>
  <c r="D17" i="7"/>
  <c r="I17" i="7" l="1" a="1"/>
  <c r="I17" i="7" s="1"/>
  <c r="S2" i="4"/>
  <c r="AL2" i="4"/>
  <c r="AU2" i="4"/>
  <c r="B18" i="7" a="1"/>
  <c r="B18" i="7" s="1"/>
  <c r="C18" i="7" a="1"/>
  <c r="C18" i="7" s="1"/>
  <c r="P14" i="7"/>
  <c r="E123" i="14"/>
  <c r="L15" i="7"/>
  <c r="M15" i="7" s="1"/>
  <c r="O15" i="7" s="1"/>
  <c r="J16" i="7"/>
  <c r="K17" i="7" s="1"/>
  <c r="D38" i="14"/>
  <c r="D21" i="10"/>
  <c r="L22" i="9" a="1"/>
  <c r="L22" i="9" s="1"/>
  <c r="F154" i="14" s="1"/>
  <c r="G22" i="9"/>
  <c r="E143" i="14" s="1"/>
  <c r="F22" i="9"/>
  <c r="E151" i="14" s="1"/>
  <c r="E22" i="9"/>
  <c r="E147" i="14" s="1"/>
  <c r="D22" i="9"/>
  <c r="C22" i="9"/>
  <c r="B22" i="9"/>
  <c r="B22" i="10" a="1"/>
  <c r="B22" i="10" s="1"/>
  <c r="B12" i="15" s="1"/>
  <c r="F22" i="10" a="1"/>
  <c r="F22" i="10" s="1"/>
  <c r="D12" i="15" s="1"/>
  <c r="C22" i="10"/>
  <c r="A24" i="11"/>
  <c r="G19" i="10"/>
  <c r="H19" i="10" s="1"/>
  <c r="A23" i="10"/>
  <c r="G20" i="10"/>
  <c r="H20" i="10" s="1"/>
  <c r="H21" i="9"/>
  <c r="A23" i="9"/>
  <c r="I21" i="9"/>
  <c r="J20" i="9"/>
  <c r="K20" i="9" s="1"/>
  <c r="M19" i="9"/>
  <c r="N19" i="9" s="1"/>
  <c r="A19" i="7"/>
  <c r="N18" i="7" a="1"/>
  <c r="N18" i="7" s="1"/>
  <c r="F87" i="14" s="1"/>
  <c r="H18" i="7"/>
  <c r="D75" i="14" s="1"/>
  <c r="F18" i="7"/>
  <c r="D79" i="14" s="1"/>
  <c r="G18" i="7"/>
  <c r="D83" i="14" s="1"/>
  <c r="E18" i="7"/>
  <c r="D18" i="7"/>
  <c r="I18" i="7" l="1" a="1"/>
  <c r="I18" i="7" s="1"/>
  <c r="B19" i="7" a="1"/>
  <c r="B19" i="7" s="1"/>
  <c r="C19" i="7" a="1"/>
  <c r="C19" i="7" s="1"/>
  <c r="E140" i="14"/>
  <c r="P15" i="7"/>
  <c r="B15" i="11" s="1"/>
  <c r="L16" i="7"/>
  <c r="M16" i="7" s="1"/>
  <c r="O16" i="7" s="1"/>
  <c r="P16" i="7" s="1"/>
  <c r="J17" i="7"/>
  <c r="L17" i="7" s="1"/>
  <c r="M17" i="7" s="1"/>
  <c r="D55" i="14"/>
  <c r="D22" i="10"/>
  <c r="E22" i="10" s="1"/>
  <c r="G22" i="10" s="1"/>
  <c r="H22" i="10" s="1"/>
  <c r="L23" i="9" a="1"/>
  <c r="L23" i="9" s="1"/>
  <c r="F171" i="14" s="1"/>
  <c r="E23" i="9"/>
  <c r="E164" i="14" s="1"/>
  <c r="D23" i="9"/>
  <c r="C23" i="9"/>
  <c r="G23" i="9"/>
  <c r="E160" i="14" s="1"/>
  <c r="F23" i="9"/>
  <c r="E168" i="14" s="1"/>
  <c r="B23" i="9"/>
  <c r="B23" i="10" a="1"/>
  <c r="B23" i="10" s="1"/>
  <c r="B13" i="15" s="1"/>
  <c r="F23" i="10" a="1"/>
  <c r="F23" i="10" s="1"/>
  <c r="D13" i="15" s="1"/>
  <c r="C23" i="10"/>
  <c r="A25" i="11"/>
  <c r="A24" i="10"/>
  <c r="E21" i="10"/>
  <c r="A24" i="9"/>
  <c r="H22" i="9"/>
  <c r="M20" i="9"/>
  <c r="N20" i="9" s="1"/>
  <c r="I22" i="9"/>
  <c r="J21" i="9"/>
  <c r="K21" i="9" s="1"/>
  <c r="A20" i="7"/>
  <c r="N19" i="7" a="1"/>
  <c r="N19" i="7" s="1"/>
  <c r="F104" i="14" s="1"/>
  <c r="H19" i="7"/>
  <c r="D92" i="14" s="1"/>
  <c r="G19" i="7"/>
  <c r="D100" i="14" s="1"/>
  <c r="F19" i="7"/>
  <c r="D96" i="14" s="1"/>
  <c r="E19" i="7"/>
  <c r="D19" i="7"/>
  <c r="I19" i="7" l="1" a="1"/>
  <c r="I19" i="7" s="1"/>
  <c r="B20" i="7" a="1"/>
  <c r="B20" i="7" s="1"/>
  <c r="C20" i="7" a="1"/>
  <c r="C20" i="7" s="1"/>
  <c r="E157" i="14"/>
  <c r="K18" i="7"/>
  <c r="J18" i="7"/>
  <c r="D72" i="14"/>
  <c r="D23" i="10"/>
  <c r="E23" i="10" s="1"/>
  <c r="L24" i="9" a="1"/>
  <c r="L24" i="9" s="1"/>
  <c r="F188" i="14" s="1"/>
  <c r="G24" i="9"/>
  <c r="E177" i="14" s="1"/>
  <c r="F24" i="9"/>
  <c r="E185" i="14" s="1"/>
  <c r="E24" i="9"/>
  <c r="E181" i="14" s="1"/>
  <c r="D24" i="9"/>
  <c r="C24" i="9"/>
  <c r="B24" i="9"/>
  <c r="B24" i="10" a="1"/>
  <c r="B24" i="10" s="1"/>
  <c r="B14" i="15" s="1"/>
  <c r="F24" i="10" a="1"/>
  <c r="F24" i="10" s="1"/>
  <c r="D14" i="15" s="1"/>
  <c r="C24" i="10"/>
  <c r="C2" i="11"/>
  <c r="D2" i="11" s="1"/>
  <c r="A25" i="10"/>
  <c r="G21" i="10"/>
  <c r="H21" i="10" s="1"/>
  <c r="H23" i="9"/>
  <c r="A25" i="9"/>
  <c r="M21" i="9"/>
  <c r="N21" i="9" s="1"/>
  <c r="I23" i="9"/>
  <c r="J22" i="9"/>
  <c r="K22" i="9" s="1"/>
  <c r="A21" i="7"/>
  <c r="N20" i="7" a="1"/>
  <c r="N20" i="7" s="1"/>
  <c r="F121" i="14" s="1"/>
  <c r="H20" i="7"/>
  <c r="D109" i="14" s="1"/>
  <c r="G20" i="7"/>
  <c r="D117" i="14" s="1"/>
  <c r="F20" i="7"/>
  <c r="D113" i="14" s="1"/>
  <c r="E20" i="7"/>
  <c r="D20" i="7"/>
  <c r="I20" i="7" l="1" a="1"/>
  <c r="I20" i="7" s="1"/>
  <c r="B21" i="7" a="1"/>
  <c r="B21" i="7" s="1"/>
  <c r="C21" i="7" a="1"/>
  <c r="C21" i="7" s="1"/>
  <c r="E174" i="14"/>
  <c r="L18" i="7"/>
  <c r="M18" i="7" s="1"/>
  <c r="O18" i="7" s="1"/>
  <c r="K19" i="7"/>
  <c r="J19" i="7"/>
  <c r="D89" i="14"/>
  <c r="D24" i="10"/>
  <c r="B25" i="9"/>
  <c r="C25" i="9"/>
  <c r="L25" i="9" a="1"/>
  <c r="L25" i="9" s="1"/>
  <c r="F205" i="14" s="1"/>
  <c r="G25" i="9"/>
  <c r="E194" i="14" s="1"/>
  <c r="F25" i="9"/>
  <c r="E202" i="14" s="1"/>
  <c r="E25" i="9"/>
  <c r="E198" i="14" s="1"/>
  <c r="D25" i="9"/>
  <c r="C25" i="10"/>
  <c r="B25" i="10" a="1"/>
  <c r="B25" i="10" s="1"/>
  <c r="B15" i="15" s="1"/>
  <c r="F25" i="10" a="1"/>
  <c r="F25" i="10" s="1"/>
  <c r="D15" i="15" s="1"/>
  <c r="C3" i="11"/>
  <c r="G23" i="10"/>
  <c r="H23" i="10" s="1"/>
  <c r="G16" i="10"/>
  <c r="H24" i="9"/>
  <c r="M14" i="9"/>
  <c r="M16" i="9" s="1"/>
  <c r="N16" i="9" s="1"/>
  <c r="M22" i="9"/>
  <c r="N22" i="9" s="1"/>
  <c r="I24" i="9"/>
  <c r="J23" i="9"/>
  <c r="K23" i="9" s="1"/>
  <c r="A22" i="7"/>
  <c r="N21" i="7" a="1"/>
  <c r="N21" i="7" s="1"/>
  <c r="F138" i="14" s="1"/>
  <c r="H21" i="7"/>
  <c r="D126" i="14" s="1"/>
  <c r="G21" i="7"/>
  <c r="D134" i="14" s="1"/>
  <c r="F21" i="7"/>
  <c r="D130" i="14" s="1"/>
  <c r="D21" i="7"/>
  <c r="E21" i="7"/>
  <c r="I21" i="7" l="1" a="1"/>
  <c r="I21" i="7" s="1"/>
  <c r="B22" i="7" a="1"/>
  <c r="B22" i="7" s="1"/>
  <c r="C22" i="7" a="1"/>
  <c r="C22" i="7" s="1"/>
  <c r="E191" i="14"/>
  <c r="L19" i="7"/>
  <c r="M19" i="7" s="1"/>
  <c r="O19" i="7" s="1"/>
  <c r="P19" i="7" s="1"/>
  <c r="B19" i="11" s="1"/>
  <c r="K20" i="7"/>
  <c r="J20" i="7"/>
  <c r="D106" i="14"/>
  <c r="D25" i="10"/>
  <c r="E25" i="10" s="1"/>
  <c r="G25" i="10" s="1"/>
  <c r="H25" i="10" s="1"/>
  <c r="D3" i="11"/>
  <c r="C4" i="11"/>
  <c r="H16" i="10"/>
  <c r="B16" i="11" s="1"/>
  <c r="G18" i="10"/>
  <c r="H18" i="10" s="1"/>
  <c r="E24" i="10"/>
  <c r="N14" i="9"/>
  <c r="B14" i="11" s="1"/>
  <c r="M17" i="9"/>
  <c r="N17" i="9" s="1"/>
  <c r="H25" i="9"/>
  <c r="M23" i="9"/>
  <c r="N23" i="9" s="1"/>
  <c r="I25" i="9"/>
  <c r="J24" i="9"/>
  <c r="K24" i="9" s="1"/>
  <c r="P18" i="7"/>
  <c r="A23" i="7"/>
  <c r="N22" i="7" a="1"/>
  <c r="N22" i="7" s="1"/>
  <c r="F155" i="14" s="1"/>
  <c r="H22" i="7"/>
  <c r="D143" i="14" s="1"/>
  <c r="G22" i="7"/>
  <c r="D151" i="14" s="1"/>
  <c r="F22" i="7"/>
  <c r="D147" i="14" s="1"/>
  <c r="E22" i="7"/>
  <c r="D22" i="7"/>
  <c r="I22" i="7" l="1" a="1"/>
  <c r="I22" i="7" s="1"/>
  <c r="E4" i="15"/>
  <c r="E5" i="15"/>
  <c r="E6" i="15"/>
  <c r="E14" i="15"/>
  <c r="B23" i="7" a="1"/>
  <c r="B23" i="7" s="1"/>
  <c r="C23" i="7" a="1"/>
  <c r="C23" i="7" s="1"/>
  <c r="E7" i="15"/>
  <c r="E9" i="15"/>
  <c r="E8" i="15"/>
  <c r="E10" i="15"/>
  <c r="E11" i="15"/>
  <c r="E12" i="15"/>
  <c r="E13" i="15"/>
  <c r="E15" i="15"/>
  <c r="K21" i="7"/>
  <c r="L20" i="7"/>
  <c r="M20" i="7" s="1"/>
  <c r="O20" i="7" s="1"/>
  <c r="J21" i="7"/>
  <c r="D123" i="14"/>
  <c r="B18" i="11"/>
  <c r="D4" i="11"/>
  <c r="C5" i="11"/>
  <c r="G24" i="10"/>
  <c r="H24" i="10" s="1"/>
  <c r="J25" i="9"/>
  <c r="M24" i="9"/>
  <c r="N24" i="9" s="1"/>
  <c r="A24" i="7"/>
  <c r="N23" i="7" a="1"/>
  <c r="N23" i="7" s="1"/>
  <c r="F172" i="14" s="1"/>
  <c r="H23" i="7"/>
  <c r="D160" i="14" s="1"/>
  <c r="G23" i="7"/>
  <c r="D168" i="14" s="1"/>
  <c r="F23" i="7"/>
  <c r="D164" i="14" s="1"/>
  <c r="D23" i="7"/>
  <c r="E23" i="7"/>
  <c r="I23" i="7" l="1" a="1"/>
  <c r="I23" i="7" s="1"/>
  <c r="B24" i="7" a="1"/>
  <c r="B24" i="7" s="1"/>
  <c r="C24" i="7" a="1"/>
  <c r="C24" i="7" s="1"/>
  <c r="D24" i="7"/>
  <c r="G24" i="7"/>
  <c r="D185" i="14" s="1"/>
  <c r="E24" i="7"/>
  <c r="F24" i="7"/>
  <c r="D181" i="14" s="1"/>
  <c r="H24" i="7"/>
  <c r="D177" i="14" s="1"/>
  <c r="N24" i="7" a="1"/>
  <c r="N24" i="7" s="1"/>
  <c r="F189" i="14" s="1"/>
  <c r="L21" i="7"/>
  <c r="M21" i="7" s="1"/>
  <c r="O21" i="7" s="1"/>
  <c r="P21" i="7" s="1"/>
  <c r="B21" i="11" s="1"/>
  <c r="K22" i="7"/>
  <c r="J22" i="7"/>
  <c r="D140" i="14"/>
  <c r="C6" i="11"/>
  <c r="D5" i="11"/>
  <c r="K25" i="9"/>
  <c r="M25" i="9" s="1"/>
  <c r="N25" i="9" s="1"/>
  <c r="A25" i="7"/>
  <c r="C25" i="7" s="1" a="1"/>
  <c r="C25" i="7" s="1"/>
  <c r="I24" i="7" l="1" a="1"/>
  <c r="I24" i="7" s="1"/>
  <c r="J24" i="7" s="1"/>
  <c r="B25" i="7" a="1"/>
  <c r="B25" i="7" s="1"/>
  <c r="I25" i="7" s="1" a="1"/>
  <c r="I25" i="7" s="1"/>
  <c r="N25" i="7" a="1"/>
  <c r="N25" i="7" s="1"/>
  <c r="F206" i="14" s="1"/>
  <c r="D25" i="7"/>
  <c r="F25" i="7"/>
  <c r="D198" i="14" s="1"/>
  <c r="E25" i="7"/>
  <c r="G25" i="7"/>
  <c r="D202" i="14" s="1"/>
  <c r="H25" i="7"/>
  <c r="D194" i="14" s="1"/>
  <c r="K23" i="7"/>
  <c r="L22" i="7"/>
  <c r="M22" i="7" s="1"/>
  <c r="O22" i="7" s="1"/>
  <c r="P22" i="7" s="1"/>
  <c r="B22" i="11" s="1"/>
  <c r="J23" i="7"/>
  <c r="D157" i="14"/>
  <c r="D6" i="11"/>
  <c r="C7" i="11"/>
  <c r="D7" i="11" s="1"/>
  <c r="J25" i="7" l="1"/>
  <c r="K24" i="7"/>
  <c r="L24" i="7" s="1"/>
  <c r="M24" i="7" s="1"/>
  <c r="L23" i="7"/>
  <c r="M23" i="7" s="1"/>
  <c r="O23" i="7" s="1"/>
  <c r="D174" i="14"/>
  <c r="C8" i="11"/>
  <c r="D8" i="11" s="1"/>
  <c r="K25" i="7" l="1"/>
  <c r="O24" i="7"/>
  <c r="P24" i="7" s="1"/>
  <c r="B24" i="11" s="1"/>
  <c r="D191" i="14"/>
  <c r="P23" i="7"/>
  <c r="B23" i="11" s="1"/>
  <c r="L25" i="7" l="1"/>
  <c r="M25" i="7" s="1"/>
  <c r="O25" i="7" s="1"/>
  <c r="P25" i="7" s="1"/>
  <c r="P20" i="7"/>
  <c r="B20" i="11" s="1"/>
  <c r="B25" i="11" l="1"/>
  <c r="F88" i="14"/>
  <c r="F20" i="14"/>
  <c r="F71" i="14"/>
  <c r="F37" i="14"/>
  <c r="F54" i="14"/>
  <c r="F105" i="14"/>
  <c r="F139" i="14"/>
  <c r="F122" i="14"/>
  <c r="F156" i="14"/>
  <c r="F173" i="14"/>
  <c r="F190" i="14"/>
  <c r="F207" i="14"/>
  <c r="C9" i="11"/>
  <c r="D9" i="11" l="1"/>
  <c r="C10" i="11"/>
  <c r="D10" i="11" s="1"/>
  <c r="C11" i="11" l="1"/>
  <c r="D11" i="11" s="1"/>
  <c r="C12" i="11" l="1"/>
  <c r="D12" i="11" s="1"/>
  <c r="C13" i="11" l="1"/>
  <c r="C14" i="11" s="1"/>
  <c r="D14" i="11" s="1"/>
  <c r="D13" i="11" l="1"/>
  <c r="C15" i="11"/>
  <c r="C16" i="11" s="1"/>
  <c r="D16" i="11" l="1"/>
  <c r="D15" i="11"/>
  <c r="O17" i="7" l="1"/>
  <c r="P17" i="7" s="1"/>
  <c r="B17" i="11" s="1"/>
  <c r="E1" i="14"/>
  <c r="G1" i="14" l="1"/>
  <c r="C17" i="11"/>
  <c r="D17" i="11" s="1"/>
  <c r="C18" i="11" l="1"/>
  <c r="C19" i="11" l="1"/>
  <c r="D19" i="11" s="1"/>
  <c r="D18" i="11"/>
  <c r="C20" i="11" l="1"/>
  <c r="D20" i="11" l="1"/>
  <c r="C21" i="11"/>
  <c r="D21" i="11" s="1"/>
  <c r="C22" i="11" l="1"/>
  <c r="D22" i="11" s="1"/>
  <c r="C23" i="11" l="1"/>
  <c r="D23" i="11" l="1"/>
  <c r="C24" i="11"/>
  <c r="D24" i="11" l="1"/>
  <c r="C25" i="11"/>
  <c r="D2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U1" authorId="0" shapeId="0" xr:uid="{E46B569E-E855-4324-8796-F11166F523F5}">
      <text>
        <r>
          <rPr>
            <b/>
            <sz val="9"/>
            <color indexed="81"/>
            <rFont val="Segoe UI"/>
            <family val="2"/>
          </rPr>
          <t>Corretagem</t>
        </r>
      </text>
    </comment>
    <comment ref="X1" authorId="0" shapeId="0" xr:uid="{53834811-EAA1-486B-A2F1-7AAC2DC811AF}">
      <text>
        <r>
          <rPr>
            <b/>
            <sz val="9"/>
            <color indexed="81"/>
            <rFont val="Segoe UI"/>
            <family val="2"/>
          </rPr>
          <t>ISS (Imposto sobre a Taxa Operacional ou Corretagem)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Z2" authorId="0" shapeId="0" xr:uid="{4C5365B4-1FCB-4DFD-A79F-061163047C35}">
      <text>
        <r>
          <rPr>
            <b/>
            <sz val="9"/>
            <color indexed="81"/>
            <rFont val="Segoe UI"/>
            <family val="2"/>
          </rPr>
          <t>Para mostrar todos os ativos, é só deixar a célula em branco.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B1" authorId="0" shapeId="0" xr:uid="{380B189C-234A-4443-A33D-B20786B86FD5}">
      <text>
        <r>
          <rPr>
            <b/>
            <sz val="9"/>
            <color indexed="81"/>
            <rFont val="Segoe UI"/>
            <family val="2"/>
          </rPr>
          <t>http://normas.receita.fazenda.gov.br/sijut2consulta/link.action?idAto=67494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D1" authorId="0" shapeId="0" xr:uid="{B398A50D-1145-4515-8E20-100D9F7D5717}">
      <text>
        <r>
          <rPr>
            <b/>
            <sz val="9"/>
            <color indexed="81"/>
            <rFont val="Segoe UI"/>
            <family val="2"/>
          </rPr>
          <t>Aba Rendimentos Isentos e Não Tributáveis - Tipo de Rendimento: 20 - Ganhos líquidos em operações no mercado à vista de ações</t>
        </r>
      </text>
    </comment>
    <comment ref="F1" authorId="0" shapeId="0" xr:uid="{0CA8F69C-EDF9-4F43-AEE3-7776968230AF}">
      <text>
        <r>
          <rPr>
            <b/>
            <sz val="9"/>
            <color indexed="81"/>
            <rFont val="Segoe UI"/>
            <family val="2"/>
          </rPr>
          <t>Aba Imposto Pago/Retido - 3.Imposto sobre a Renda na Fonte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A1" authorId="0" shapeId="0" xr:uid="{6086A3E6-8F38-4489-8195-C965DDB8EBF1}">
      <text>
        <r>
          <rPr>
            <b/>
            <sz val="9"/>
            <color indexed="81"/>
            <rFont val="Segoe UI"/>
            <family val="2"/>
          </rPr>
          <t>No caso de Mercado Futuro, Opções e a Termo, deixar o CNPJ em branco e a Razão Social igual ao Ticker. Para BDRs, preencher apenas o Ticker e a Razão Social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Amorim</author>
  </authors>
  <commentList>
    <comment ref="A1" authorId="0" shapeId="0" xr:uid="{85FD2364-1E8F-4E5A-A3AB-58D1D6A4D22C}">
      <text>
        <r>
          <rPr>
            <b/>
            <sz val="9"/>
            <color indexed="81"/>
            <rFont val="Segoe UI"/>
            <family val="2"/>
          </rPr>
          <t>http://www.planalto.gov.br/CCIVIL_03/_Ato2011-2014/2014/Lei/L13043.htm</t>
        </r>
      </text>
    </comment>
    <comment ref="B1" authorId="0" shapeId="0" xr:uid="{7CD46AA5-9B05-4E14-B50A-AD1E00D5FB2C}">
      <text>
        <r>
          <rPr>
            <sz val="9"/>
            <color indexed="81"/>
            <rFont val="Segoe UI"/>
            <family val="2"/>
          </rPr>
          <t>Caso você compre Ações Isentas antes da data limite, basta usar o próprio ticker dela.
Ex: comprei SQIA3 até 05/09/2019, basta registrar como SQIA3.
Caso você compre depois da data de limite (e antes de 31/12/2023), você precisa adicionar ".N" ao final do ticker.
Ex: comprei SQIA3 no dia 01/01/2021. Preciso registrar essa movimentação como SQIA3.N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<sst xmlns="http://schemas.openxmlformats.org/spreadsheetml/2006/main" count="3942" uniqueCount="1902">
  <si>
    <t>Corretora</t>
  </si>
  <si>
    <t>Data Pregão</t>
  </si>
  <si>
    <t>Data Liquidação</t>
  </si>
  <si>
    <t>C/V</t>
  </si>
  <si>
    <t>Ticker</t>
  </si>
  <si>
    <t>Tipo</t>
  </si>
  <si>
    <t>Ação</t>
  </si>
  <si>
    <t>Quantidade</t>
  </si>
  <si>
    <t>Preço</t>
  </si>
  <si>
    <t>Valor Operação</t>
  </si>
  <si>
    <t>Taxas</t>
  </si>
  <si>
    <t>Valor Liquido</t>
  </si>
  <si>
    <t>I.R.R.F.</t>
  </si>
  <si>
    <t>Taxa Liquidação</t>
  </si>
  <si>
    <t>Taxa Registro</t>
  </si>
  <si>
    <t>Taxa Termo/Opções</t>
  </si>
  <si>
    <t>Taxa A.N.A.</t>
  </si>
  <si>
    <t>Emolumentos</t>
  </si>
  <si>
    <t>Taxa Operacional</t>
  </si>
  <si>
    <t>Taxa Execução</t>
  </si>
  <si>
    <t>Taxa Custódia</t>
  </si>
  <si>
    <t>Impostos</t>
  </si>
  <si>
    <t>Outros</t>
  </si>
  <si>
    <t>Nota</t>
  </si>
  <si>
    <t>ABCD</t>
  </si>
  <si>
    <t>C</t>
  </si>
  <si>
    <t>V</t>
  </si>
  <si>
    <t>CASH3</t>
  </si>
  <si>
    <t>SAPR11</t>
  </si>
  <si>
    <t>YDUQ3</t>
  </si>
  <si>
    <t>ID</t>
  </si>
  <si>
    <t>Conta</t>
  </si>
  <si>
    <t>Descrição</t>
  </si>
  <si>
    <t>Valor</t>
  </si>
  <si>
    <t>Saldo</t>
  </si>
  <si>
    <t>Incluída</t>
  </si>
  <si>
    <t>x</t>
  </si>
  <si>
    <t>Aporte ABCD</t>
  </si>
  <si>
    <t>Aporte</t>
  </si>
  <si>
    <t>DCBA</t>
  </si>
  <si>
    <t>ETF</t>
  </si>
  <si>
    <t>FII</t>
  </si>
  <si>
    <t>BDR</t>
  </si>
  <si>
    <t>Opção</t>
  </si>
  <si>
    <t>Resultado Ação</t>
  </si>
  <si>
    <t>I.R.R.F. Ação</t>
  </si>
  <si>
    <t>Ativo</t>
  </si>
  <si>
    <t>Valor Investido</t>
  </si>
  <si>
    <t>Custo Médio</t>
  </si>
  <si>
    <t>Preço Atual</t>
  </si>
  <si>
    <t>Valor Atual</t>
  </si>
  <si>
    <t>Variação</t>
  </si>
  <si>
    <t>Variação %</t>
  </si>
  <si>
    <t>Cotação</t>
  </si>
  <si>
    <t>Data</t>
  </si>
  <si>
    <t>Ativos Prejuízo</t>
  </si>
  <si>
    <t>Int. Prejuízo</t>
  </si>
  <si>
    <t>Ativos Lucro</t>
  </si>
  <si>
    <t>Int. Lucro</t>
  </si>
  <si>
    <t>ITUB4</t>
  </si>
  <si>
    <t>MGLU3</t>
  </si>
  <si>
    <t>BRCR11</t>
  </si>
  <si>
    <t>BBAS3</t>
  </si>
  <si>
    <t>Resultado Ação Day Trade</t>
  </si>
  <si>
    <t>I.R.R.F. Ação Day Trade</t>
  </si>
  <si>
    <t>PETR4</t>
  </si>
  <si>
    <t>Futuro</t>
  </si>
  <si>
    <t>Termo</t>
  </si>
  <si>
    <t>AESB3</t>
  </si>
  <si>
    <t>BBDC4</t>
  </si>
  <si>
    <t>Provento</t>
  </si>
  <si>
    <t>OBS</t>
  </si>
  <si>
    <t>MSFT34</t>
  </si>
  <si>
    <t>Resultado BDR</t>
  </si>
  <si>
    <t>I.R.R.F. BDR</t>
  </si>
  <si>
    <t>BPAN4</t>
  </si>
  <si>
    <t>Mês</t>
  </si>
  <si>
    <t>Alienações</t>
  </si>
  <si>
    <t>Lucro Isento</t>
  </si>
  <si>
    <t>Prejuízo a Compensar</t>
  </si>
  <si>
    <t>Base de Cálculo</t>
  </si>
  <si>
    <t>Imposto Devido</t>
  </si>
  <si>
    <t>I.R.R.F. no mês</t>
  </si>
  <si>
    <t>Imposto a pagar</t>
  </si>
  <si>
    <t>Data de pagamento</t>
  </si>
  <si>
    <t>Imposto pago</t>
  </si>
  <si>
    <t>Resultado ETF</t>
  </si>
  <si>
    <t>Resultado Total</t>
  </si>
  <si>
    <t>Resultado Termo</t>
  </si>
  <si>
    <t>Resultado Opção</t>
  </si>
  <si>
    <t>Resultado Futuro</t>
  </si>
  <si>
    <t>R$ 0,04 não foi debitado</t>
  </si>
  <si>
    <t>Tesouro Selic 2025</t>
  </si>
  <si>
    <t>Renda Fixa</t>
  </si>
  <si>
    <t>DARF a pagar</t>
  </si>
  <si>
    <t>I.R.R.F Compensado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</si>
  <si>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</si>
  <si>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</si>
  <si>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</si>
  <si>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</si>
  <si>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</si>
  <si>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</si>
  <si>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</si>
  <si>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</si>
  <si>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</si>
  <si>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</si>
  <si>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</si>
  <si>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</si>
  <si>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</si>
  <si>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</si>
  <si>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</si>
  <si>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</si>
  <si>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</si>
  <si>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</si>
  <si>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da Semana</t>
  </si>
  <si>
    <t>Feriado</t>
  </si>
  <si>
    <t>1° dia do mês</t>
  </si>
  <si>
    <t>Último dia útil</t>
  </si>
  <si>
    <t>Último dia do mês</t>
  </si>
  <si>
    <t>Ajuste para meio da semana</t>
  </si>
  <si>
    <t>É feriado?</t>
  </si>
  <si>
    <t>Data ajustada</t>
  </si>
  <si>
    <t>Resultado FII</t>
  </si>
  <si>
    <t>I.R.R.F. FII</t>
  </si>
  <si>
    <t>Subscrição: Ajuste para a Data de Liquidação</t>
  </si>
  <si>
    <t>Subscrição: Ajuste para a Data de Integralização</t>
  </si>
  <si>
    <t>Digite o ano</t>
  </si>
  <si>
    <t>Razão Social</t>
  </si>
  <si>
    <t>CNPJ</t>
  </si>
  <si>
    <t>ABCD S.A.</t>
  </si>
  <si>
    <t>12.345.678/0001-00</t>
  </si>
  <si>
    <t>Razão social</t>
  </si>
  <si>
    <t>AALR3</t>
  </si>
  <si>
    <t>42.771.949/0001-35</t>
  </si>
  <si>
    <t>CENTRO DE IMAGEM DIAGNÓSTICOS S.A.</t>
  </si>
  <si>
    <t>ABCB4</t>
  </si>
  <si>
    <t>28.195.667/0001-06</t>
  </si>
  <si>
    <t>BANCO ABC BRASIL S/A</t>
  </si>
  <si>
    <t>ABCP11</t>
  </si>
  <si>
    <t>01.201.140/0001-90</t>
  </si>
  <si>
    <t>Grand Plaza Shopping</t>
  </si>
  <si>
    <t>ABEV3</t>
  </si>
  <si>
    <t>07.526.557/0001-00</t>
  </si>
  <si>
    <t>AMBEV S.A.</t>
  </si>
  <si>
    <t>ADHM1</t>
  </si>
  <si>
    <t>10.345.009/0001-98</t>
  </si>
  <si>
    <t>ADVANCED DIGITAL HEALTH MEDICINA PREVENTIVA S.A.</t>
  </si>
  <si>
    <t>ADHM3</t>
  </si>
  <si>
    <t>AERI3</t>
  </si>
  <si>
    <t>12.528.708/0001-07</t>
  </si>
  <si>
    <t>AERIS IND. E COM. DE EQUIP. GERACAO DE ENERGIA S/A</t>
  </si>
  <si>
    <t>AFLT3</t>
  </si>
  <si>
    <t>10.338.320/0001-00</t>
  </si>
  <si>
    <t>AFLUENTE TRANSMISSÃO DE ENERGIA ELETRICA S/A</t>
  </si>
  <si>
    <t>AGRO3</t>
  </si>
  <si>
    <t>07.628.528/0001-59</t>
  </si>
  <si>
    <t>BRASILAGRO CIA BRAS DE PROP AGRICOLAS</t>
  </si>
  <si>
    <t>AHEB1</t>
  </si>
  <si>
    <t>62.002.886/0001-60</t>
  </si>
  <si>
    <t>SÃO PAULO TURISMO S. A.</t>
  </si>
  <si>
    <t>AHEB11</t>
  </si>
  <si>
    <t>AHEB13</t>
  </si>
  <si>
    <t>AHEB3</t>
  </si>
  <si>
    <t>AHEB5</t>
  </si>
  <si>
    <t>AHEB6</t>
  </si>
  <si>
    <t>ALEF3B</t>
  </si>
  <si>
    <t>02.217.319/0001-07</t>
  </si>
  <si>
    <t>ALEF SA</t>
  </si>
  <si>
    <t>ALMI11</t>
  </si>
  <si>
    <t>07.122.725/0001-00</t>
  </si>
  <si>
    <t>Torre Almirante</t>
  </si>
  <si>
    <t>ALPA3</t>
  </si>
  <si>
    <t>61.079.117/0001-05</t>
  </si>
  <si>
    <t>ALPARGATAS SA</t>
  </si>
  <si>
    <t>ALPA4</t>
  </si>
  <si>
    <t>ALSO3</t>
  </si>
  <si>
    <t>05.878.397/0001-32</t>
  </si>
  <si>
    <t>ALIANSCE SONAE SHOPPING CENTERS S.A.</t>
  </si>
  <si>
    <t>ALUP11</t>
  </si>
  <si>
    <t>08.364.930/0001-38</t>
  </si>
  <si>
    <t>ALUPAR INVESTIMENTO S/A</t>
  </si>
  <si>
    <t>ALUP3</t>
  </si>
  <si>
    <t>ALUP4</t>
  </si>
  <si>
    <t>ALZR11</t>
  </si>
  <si>
    <t>28.737.771/0001-85</t>
  </si>
  <si>
    <t>Alianza Trust Renda Imobiliária</t>
  </si>
  <si>
    <t>AMAR3</t>
  </si>
  <si>
    <t>61.189.288/0001-89</t>
  </si>
  <si>
    <t>MARISA LOJAS SA</t>
  </si>
  <si>
    <t>AMBP3</t>
  </si>
  <si>
    <t>12.630.266/0001-24</t>
  </si>
  <si>
    <t>AMBIPAR PARTICIPACOES E EMPREENDIMENTOS S/A</t>
  </si>
  <si>
    <t>ANCR11B</t>
  </si>
  <si>
    <t>07.789.135/0001-27</t>
  </si>
  <si>
    <t>Ancar IC</t>
  </si>
  <si>
    <t>ANIM3</t>
  </si>
  <si>
    <t>09.288.252/0001-32</t>
  </si>
  <si>
    <t>ANIMA HOLDING S/A</t>
  </si>
  <si>
    <t>APCS-CRI05B0</t>
  </si>
  <si>
    <t>12.130.744/0001-00</t>
  </si>
  <si>
    <t>TRUE SECURITIZADORA S.A.</t>
  </si>
  <si>
    <t>APER3</t>
  </si>
  <si>
    <t>11.721.921/0001-60</t>
  </si>
  <si>
    <t>ALPER CONSULTORIA E CORRETORA DE SEGUROS S.A.</t>
  </si>
  <si>
    <t>APTI3</t>
  </si>
  <si>
    <t>61.156.931/0001-78</t>
  </si>
  <si>
    <t>SIDERURGICA J L ALIPERTI SA</t>
  </si>
  <si>
    <t>APTI4</t>
  </si>
  <si>
    <t>ARZZ3</t>
  </si>
  <si>
    <t>16.590.234/0001-76</t>
  </si>
  <si>
    <t>AREZZO INDÚSTRIA E COMERCIO S/A</t>
  </si>
  <si>
    <t>ATOM3</t>
  </si>
  <si>
    <t>00.359.742/0001-08</t>
  </si>
  <si>
    <t>ATOM EMPREENDIMENTOS E PARTICIPAÇÕES S.A.</t>
  </si>
  <si>
    <t>ATSA11B</t>
  </si>
  <si>
    <t>12.809.972/0001-00</t>
  </si>
  <si>
    <t>Atrium Shopping Santo André</t>
  </si>
  <si>
    <t>AZEV3</t>
  </si>
  <si>
    <t>61.351.532/0001-68</t>
  </si>
  <si>
    <t>AZEVEDO &amp; TRAVASSOS SA</t>
  </si>
  <si>
    <t>AZUL4</t>
  </si>
  <si>
    <t>09.305.994/0001-29</t>
  </si>
  <si>
    <t>AZUL S.A.</t>
  </si>
  <si>
    <t>B3SA3</t>
  </si>
  <si>
    <t>09.346.601/0001-25</t>
  </si>
  <si>
    <t>B3 S.A. – BRASIL, BOLSA, BALCÃO</t>
  </si>
  <si>
    <t>BAHI3</t>
  </si>
  <si>
    <t>45.987.245/0001-92</t>
  </si>
  <si>
    <t>BAHEMA EDUCACAO S.A.</t>
  </si>
  <si>
    <t>BALM3</t>
  </si>
  <si>
    <t>61.374.161/0001-30</t>
  </si>
  <si>
    <t>BAUMER SA</t>
  </si>
  <si>
    <t>BALM4</t>
  </si>
  <si>
    <t>BAUH3</t>
  </si>
  <si>
    <t>95.426.862/0001-97</t>
  </si>
  <si>
    <t>EXCELSIOR ALIMENTOS SA.</t>
  </si>
  <si>
    <t>BAUH4</t>
  </si>
  <si>
    <t>BAZA3</t>
  </si>
  <si>
    <t>04.902.979/0001-44</t>
  </si>
  <si>
    <t>BANCO DA AMAZÔNIA S.A.</t>
  </si>
  <si>
    <t>BBAS11</t>
  </si>
  <si>
    <t>00.000.000/0001-91</t>
  </si>
  <si>
    <t>BANCO DO BRASIL S.A.</t>
  </si>
  <si>
    <t>BBAS12</t>
  </si>
  <si>
    <t>BBDC3</t>
  </si>
  <si>
    <t>60.746.930/0001-12</t>
  </si>
  <si>
    <t>BANCO BRADESCO S.A.</t>
  </si>
  <si>
    <t>BBFI11B</t>
  </si>
  <si>
    <t>07.000.400/0001-46</t>
  </si>
  <si>
    <t>BB Progressivo</t>
  </si>
  <si>
    <t>BBML3</t>
  </si>
  <si>
    <t>01.107.327/0001-20</t>
  </si>
  <si>
    <t>BBM LOGÍSTICA S.A.</t>
  </si>
  <si>
    <t>BBPO11</t>
  </si>
  <si>
    <t>14.410.722/0001-29</t>
  </si>
  <si>
    <t>BB Progressivo II</t>
  </si>
  <si>
    <t>BBRC11</t>
  </si>
  <si>
    <t>12.681.340/0001-04</t>
  </si>
  <si>
    <t>BB Renda Corporativa</t>
  </si>
  <si>
    <t>BBRK3</t>
  </si>
  <si>
    <t>08.613.550/0001-98</t>
  </si>
  <si>
    <t>BRASIL BROKERS PARTICIPAÇÕES SA</t>
  </si>
  <si>
    <t>BBSE3</t>
  </si>
  <si>
    <t>17.344.597/0001-94</t>
  </si>
  <si>
    <t>BB SEGURIDADE PARTICIPAÇÕES S.A.</t>
  </si>
  <si>
    <t>BBVJ11</t>
  </si>
  <si>
    <t>10.347.985/0001-80</t>
  </si>
  <si>
    <t>BB Votorantim Cidade Jardim Continental Tower</t>
  </si>
  <si>
    <t>BCFF11</t>
  </si>
  <si>
    <t>11.026.627/0001-38</t>
  </si>
  <si>
    <t>BTG Pactual Fundo de Fundos</t>
  </si>
  <si>
    <t>BCIA11</t>
  </si>
  <si>
    <t>20.216.935/0001-17</t>
  </si>
  <si>
    <t>Bradesco Carteira Imobiliária Ativa</t>
  </si>
  <si>
    <t>BCRI11</t>
  </si>
  <si>
    <t>22.219.335/0001-38</t>
  </si>
  <si>
    <t>Banestes Recebíveis Imobiliários</t>
  </si>
  <si>
    <t>BDLL3</t>
  </si>
  <si>
    <t>60.851.615/0001-53</t>
  </si>
  <si>
    <t>BARDELLA SA INDS MECANICAS</t>
  </si>
  <si>
    <t>BDLL4</t>
  </si>
  <si>
    <t>BEEF11</t>
  </si>
  <si>
    <t>67.620.377/0001-14</t>
  </si>
  <si>
    <t>MINERVA S/A</t>
  </si>
  <si>
    <t>BEEF3</t>
  </si>
  <si>
    <t>BEES3</t>
  </si>
  <si>
    <t>28.127.603/0001-78</t>
  </si>
  <si>
    <t>BANESTES SA BANCO DO ESTADO DO ESPIRITO SANTO</t>
  </si>
  <si>
    <t>BEES4</t>
  </si>
  <si>
    <t>BETP3B</t>
  </si>
  <si>
    <t>02.762.124/0001-30</t>
  </si>
  <si>
    <t>BETAPART PARTICIPAÇÕES SA</t>
  </si>
  <si>
    <t>BGIP3</t>
  </si>
  <si>
    <t>13.009.717/0001-46</t>
  </si>
  <si>
    <t>BANCO DO ESTADO DE SERGIPE SA</t>
  </si>
  <si>
    <t>BGIP4</t>
  </si>
  <si>
    <t>BIDI11</t>
  </si>
  <si>
    <t>00.416.968/0001-01</t>
  </si>
  <si>
    <t>BANCO INTER S.A.</t>
  </si>
  <si>
    <t>BIDI3</t>
  </si>
  <si>
    <t>BIDI4</t>
  </si>
  <si>
    <t>BIOM11</t>
  </si>
  <si>
    <t>04.752.991/0001-10</t>
  </si>
  <si>
    <t>BIOMM SA</t>
  </si>
  <si>
    <t>BIOM3</t>
  </si>
  <si>
    <t>BKBR3</t>
  </si>
  <si>
    <t>13.574.594/0001-96</t>
  </si>
  <si>
    <t>BK BRASIL OPERAÇÃO E ASSESSORIA A RESTAURANTES S.A.</t>
  </si>
  <si>
    <t>BMEB3</t>
  </si>
  <si>
    <t>17.184.037/0001-10</t>
  </si>
  <si>
    <t>BANCO MERCANTIL BRASIL SA</t>
  </si>
  <si>
    <t>BMEB4</t>
  </si>
  <si>
    <t>BMGB4</t>
  </si>
  <si>
    <t>61.186.680/0001-74</t>
  </si>
  <si>
    <t>BANCO BMG S/A</t>
  </si>
  <si>
    <t>BMII11</t>
  </si>
  <si>
    <t>02.027.437/0001-44</t>
  </si>
  <si>
    <t>Brasilio Machado</t>
  </si>
  <si>
    <t>BMIN3</t>
  </si>
  <si>
    <t>34.169.557/0001-72</t>
  </si>
  <si>
    <t>BANCO MERCANTIL DE INVESTIMENTOS S.A.</t>
  </si>
  <si>
    <t>BMIN4</t>
  </si>
  <si>
    <t>BMKS3</t>
  </si>
  <si>
    <t>56.992.423/0001-90</t>
  </si>
  <si>
    <t>BICICLETAS MONARK SA</t>
  </si>
  <si>
    <t>BMLC11B</t>
  </si>
  <si>
    <t>14.376.247/0001-11</t>
  </si>
  <si>
    <t>BM Brascan Lajes Corporativas</t>
  </si>
  <si>
    <t>BNBR3</t>
  </si>
  <si>
    <t>07.237.373/0001-20</t>
  </si>
  <si>
    <t>BANCO DO NORDESTE DO BRASIL SA</t>
  </si>
  <si>
    <t>BNFS11</t>
  </si>
  <si>
    <t>15.570.431/0001-60</t>
  </si>
  <si>
    <t>Banrisul Novas Fronteiras</t>
  </si>
  <si>
    <t>BOBR3</t>
  </si>
  <si>
    <t>50.564.053/0001-03</t>
  </si>
  <si>
    <t>BOMBRIL SA</t>
  </si>
  <si>
    <t>BOBR4</t>
  </si>
  <si>
    <t>SMAL11</t>
  </si>
  <si>
    <t>01.522.368/0001-82</t>
  </si>
  <si>
    <t>ISHARES BMFBOVESPA SMALL CAP FUNDO DE ÍNDICE (SMAL11 )</t>
  </si>
  <si>
    <t>BPAC11</t>
  </si>
  <si>
    <t>30.306.294/0001-45</t>
  </si>
  <si>
    <t>BANCO BTG PACTUAL S/A</t>
  </si>
  <si>
    <t>BPAC3</t>
  </si>
  <si>
    <t>BPAC5</t>
  </si>
  <si>
    <t>59.285.411/0001-13</t>
  </si>
  <si>
    <t>BANCO PAN SA</t>
  </si>
  <si>
    <t>BPAR3</t>
  </si>
  <si>
    <t>04.913.711/0001-08</t>
  </si>
  <si>
    <t>BANCO DO ESTADO DO PARÁ S/A.</t>
  </si>
  <si>
    <t>BPFF11</t>
  </si>
  <si>
    <t>17.324.357/0001-28</t>
  </si>
  <si>
    <t>Brasil Plural Absoluto Fundo de Fundos</t>
  </si>
  <si>
    <t>BPHA3</t>
  </si>
  <si>
    <t>11.395.624/0001-71</t>
  </si>
  <si>
    <t>BRASIL PHARMA SA – EM RECUPERAÇÃO JUDICIAL</t>
  </si>
  <si>
    <t>BRAP3</t>
  </si>
  <si>
    <t>03.847.461/0001-92</t>
  </si>
  <si>
    <t>BRADESPAR S/A</t>
  </si>
  <si>
    <t>BRAP4</t>
  </si>
  <si>
    <t>08.924.783/0001-01</t>
  </si>
  <si>
    <t>BTG Pactual Corporate Office</t>
  </si>
  <si>
    <t>BRCS-CRI1AB0</t>
  </si>
  <si>
    <t>08.653.753/0001-08</t>
  </si>
  <si>
    <t>BRC SECURITIZADORA SA</t>
  </si>
  <si>
    <t>BRDT3</t>
  </si>
  <si>
    <t>34.274.233/0001-02</t>
  </si>
  <si>
    <t>PETROBRAS DISTRIBUIDORA SA</t>
  </si>
  <si>
    <t>BRFS3</t>
  </si>
  <si>
    <t>01.838.723/0001-27</t>
  </si>
  <si>
    <t>BRF S.A.</t>
  </si>
  <si>
    <t>BRGE11</t>
  </si>
  <si>
    <t>17.193.806/0001-46</t>
  </si>
  <si>
    <t>CONSORCIO ALFA DE ADMINISTRAÇÃO SA</t>
  </si>
  <si>
    <t>BRGE12</t>
  </si>
  <si>
    <t>BRGE3</t>
  </si>
  <si>
    <t>BRGE5</t>
  </si>
  <si>
    <t>BRGE6</t>
  </si>
  <si>
    <t>BRGE7</t>
  </si>
  <si>
    <t>BRGE8</t>
  </si>
  <si>
    <t>BRIV3</t>
  </si>
  <si>
    <t>60.770.336/0001-65</t>
  </si>
  <si>
    <t>BANCO ALFA DE INVESTIMENTO SA</t>
  </si>
  <si>
    <t>BRIV4</t>
  </si>
  <si>
    <t>BRKM3</t>
  </si>
  <si>
    <t>42.150.391/0001-70</t>
  </si>
  <si>
    <t>BRASKEM S.A.</t>
  </si>
  <si>
    <t>BRKM5</t>
  </si>
  <si>
    <t>BRKM6</t>
  </si>
  <si>
    <t>BRML3</t>
  </si>
  <si>
    <t>06.977.745/0001-91</t>
  </si>
  <si>
    <t>BR MALLS PARTICIPAÇOES S.A.</t>
  </si>
  <si>
    <t>BRPR3</t>
  </si>
  <si>
    <t>06.977.751/0001-49</t>
  </si>
  <si>
    <t>BR PROPERTIES S.A.</t>
  </si>
  <si>
    <t>BRQB3</t>
  </si>
  <si>
    <t>36.542.025/0001-64</t>
  </si>
  <si>
    <t>BRQ SOLUÇÕES EM INFORMÁTICA S.A.</t>
  </si>
  <si>
    <t>BRSR3</t>
  </si>
  <si>
    <t>92.702.067/0001-96</t>
  </si>
  <si>
    <t>BANCO DO ESTADO DO RIO GRANDE DO SUL SA</t>
  </si>
  <si>
    <t>BRSR5</t>
  </si>
  <si>
    <t>BRSR6</t>
  </si>
  <si>
    <t>BSCS-CRIT2B0</t>
  </si>
  <si>
    <t>03.767.538/0001-14</t>
  </si>
  <si>
    <t>BRAZILIAN SECURITIES CIA SECURITIZAÇÃO</t>
  </si>
  <si>
    <t>BSCS-CRIT3B0</t>
  </si>
  <si>
    <t>BSEV3</t>
  </si>
  <si>
    <t>15.527.906/0001-36</t>
  </si>
  <si>
    <t>BIOSEV S.A.</t>
  </si>
  <si>
    <t>BSLI3</t>
  </si>
  <si>
    <t>00.000.208/0001-00</t>
  </si>
  <si>
    <t>BRB-BANCO DE BRASILIA SA</t>
  </si>
  <si>
    <t>BSLI4</t>
  </si>
  <si>
    <t>BTCR11</t>
  </si>
  <si>
    <t>29.787.928/0001-40</t>
  </si>
  <si>
    <t>BTG Pactual Crédito Imobiliário</t>
  </si>
  <si>
    <t>BTOW3</t>
  </si>
  <si>
    <t>00.776.574/0001-56</t>
  </si>
  <si>
    <t>B2W – COMPANHIA DIGITAL</t>
  </si>
  <si>
    <t>BTTL3</t>
  </si>
  <si>
    <t>42.331.462/0001-31</t>
  </si>
  <si>
    <t>BATTISTELLA ADM E PARTICIPAÇÕES S A</t>
  </si>
  <si>
    <t>BVAR11</t>
  </si>
  <si>
    <t>21.126.204/0001-43</t>
  </si>
  <si>
    <t>Brasil Varejo</t>
  </si>
  <si>
    <t>BZRS-CRI11B0</t>
  </si>
  <si>
    <t>07.119.838/0001-30</t>
  </si>
  <si>
    <t>BRAZIL REALTY CIA SECURITIZADORA DE CREDITOS IMOLIARIOS</t>
  </si>
  <si>
    <t>CABI3B</t>
  </si>
  <si>
    <t>04.030.182/0001-02</t>
  </si>
  <si>
    <t>CABINDA PARTICIPAÇÕES SA</t>
  </si>
  <si>
    <t>CACO3B</t>
  </si>
  <si>
    <t>04.031.213/0001-31</t>
  </si>
  <si>
    <t>CACONDE PARTICIPAÇÕES SA</t>
  </si>
  <si>
    <t>CAIA3B</t>
  </si>
  <si>
    <t>04.038.763/0001-82</t>
  </si>
  <si>
    <t>CAIANDA PARTICIPAÇÕES SA</t>
  </si>
  <si>
    <t>CALI3</t>
  </si>
  <si>
    <t>61.022.042/0001-18</t>
  </si>
  <si>
    <t>CONST ADOLPHO LINDENBERG SA</t>
  </si>
  <si>
    <t>CALI4</t>
  </si>
  <si>
    <t>CAMB3</t>
  </si>
  <si>
    <t>61.088.894/0001-08</t>
  </si>
  <si>
    <t>CAMBUCI SA</t>
  </si>
  <si>
    <t>CAML3</t>
  </si>
  <si>
    <t>64.904.295/0001-03</t>
  </si>
  <si>
    <t>CAMIL ALIMENTOS S/A</t>
  </si>
  <si>
    <t>CARD3</t>
  </si>
  <si>
    <t>01.896.779/0001-38</t>
  </si>
  <si>
    <t>CSU CARDSYSTEM S/A</t>
  </si>
  <si>
    <t>CARE11</t>
  </si>
  <si>
    <t>13.584.584/0001-31</t>
  </si>
  <si>
    <t>Brazilian Graveyard and Death Care</t>
  </si>
  <si>
    <t>CASN3</t>
  </si>
  <si>
    <t>82.508.433/0001-17</t>
  </si>
  <si>
    <t>CIA CAT. DE ÁGUAS E SANEAMENTO – CASAN</t>
  </si>
  <si>
    <t>CASN4</t>
  </si>
  <si>
    <t>CATA3</t>
  </si>
  <si>
    <t>19.526.730/0001-50</t>
  </si>
  <si>
    <t>COMPANHIA INDUSTRIAL CATAGUASES</t>
  </si>
  <si>
    <t>CATA4</t>
  </si>
  <si>
    <t>CBEE3</t>
  </si>
  <si>
    <t>33.050.071/0001-58</t>
  </si>
  <si>
    <t>AMPLA ENERGIA E SERVIÇOS S.A.</t>
  </si>
  <si>
    <t>CBOP11</t>
  </si>
  <si>
    <t>17.144.039/0001-85</t>
  </si>
  <si>
    <t>Castello Branco Office Park</t>
  </si>
  <si>
    <t>CCPR3</t>
  </si>
  <si>
    <t>08.801.621/0001-86</t>
  </si>
  <si>
    <t>CYRELA COMMERCIAL PROPERTIES SA EMP  PART</t>
  </si>
  <si>
    <t>CCRO3</t>
  </si>
  <si>
    <t>02.846.056/0001-97</t>
  </si>
  <si>
    <t>CCR S.A.</t>
  </si>
  <si>
    <t>CCXC3</t>
  </si>
  <si>
    <t>07.950.674/0001-04</t>
  </si>
  <si>
    <t>CCX CARVÃO DA COLOMBIA S.A.</t>
  </si>
  <si>
    <t>CEAB3</t>
  </si>
  <si>
    <t>45.242.914/0001-05</t>
  </si>
  <si>
    <t>C&amp;A MODAS S.A.</t>
  </si>
  <si>
    <t>CEBR3</t>
  </si>
  <si>
    <t>00.070.698/0001-11</t>
  </si>
  <si>
    <t>COMPANHIA ENERGÉTICA DE BRASÍLIA – CEB</t>
  </si>
  <si>
    <t>CEBR5</t>
  </si>
  <si>
    <t>CEBR6</t>
  </si>
  <si>
    <t>CEDO3</t>
  </si>
  <si>
    <t>17.245.234/0001-00</t>
  </si>
  <si>
    <t>COMPANHIA DE FIACAO E TECIDOS CEDRO E CACHOEIRA</t>
  </si>
  <si>
    <t>CEDO4</t>
  </si>
  <si>
    <t>CEEB3</t>
  </si>
  <si>
    <t>15.139.629/0001-94</t>
  </si>
  <si>
    <t>CIA ELETRICIDADE DA BAHIA</t>
  </si>
  <si>
    <t>CEEB5</t>
  </si>
  <si>
    <t>CEEB6</t>
  </si>
  <si>
    <t>CEED3</t>
  </si>
  <si>
    <t>08.467.115/0001-00</t>
  </si>
  <si>
    <t>CIA ESTADUAL DE DISTRIBUIÇÃO DE ENERGIA ELETRICA</t>
  </si>
  <si>
    <t>CEED4</t>
  </si>
  <si>
    <t>CEGR3</t>
  </si>
  <si>
    <t>33.938.119/0001-69</t>
  </si>
  <si>
    <t>CIA. DISTRIB. DE GÁS DO RIO DE JANEIRO</t>
  </si>
  <si>
    <t>CEOC11</t>
  </si>
  <si>
    <t>15.799.397/0001-09</t>
  </si>
  <si>
    <t>Cyrela Commercial Properties</t>
  </si>
  <si>
    <t>CEPE3</t>
  </si>
  <si>
    <t>10.835.932/0001-08</t>
  </si>
  <si>
    <t>CIA ENERGÉTICA DE PERNAMBUCO – CELPE</t>
  </si>
  <si>
    <t>CEPE5</t>
  </si>
  <si>
    <t>CEPE6</t>
  </si>
  <si>
    <t>CESP3</t>
  </si>
  <si>
    <t>60.933.603/0001-78</t>
  </si>
  <si>
    <t>CESP – COMPANHIA ENERGÉTICA DE SÃO PAULO</t>
  </si>
  <si>
    <t>CESP5</t>
  </si>
  <si>
    <t>CESP6</t>
  </si>
  <si>
    <t>CGAS3</t>
  </si>
  <si>
    <t>61.856.571/0001-17</t>
  </si>
  <si>
    <t>COMPANHIA DE GÁS DE SÃO PAULO – COMGÁS</t>
  </si>
  <si>
    <t>CGAS5</t>
  </si>
  <si>
    <t>CGRA3</t>
  </si>
  <si>
    <t>92.012.467/0001-70</t>
  </si>
  <si>
    <t>GRAZZIOTIN SA</t>
  </si>
  <si>
    <t>CGRA4</t>
  </si>
  <si>
    <t>CIEL3</t>
  </si>
  <si>
    <t>01.027.058/0001-91</t>
  </si>
  <si>
    <t>CIELO S.A.</t>
  </si>
  <si>
    <t>CLSC3</t>
  </si>
  <si>
    <t>83.878.892/0001-55</t>
  </si>
  <si>
    <t>CENTRAIS ELETRICAS DE SANTA CATARINA S.A</t>
  </si>
  <si>
    <t>CLSC4</t>
  </si>
  <si>
    <t>CMIG3</t>
  </si>
  <si>
    <t>17.155.730/0001-64</t>
  </si>
  <si>
    <t>CIA ENERG MINAS GERAIS – CEMIG</t>
  </si>
  <si>
    <t>CMIG4</t>
  </si>
  <si>
    <t>CMSA3</t>
  </si>
  <si>
    <t>00.272.185/0001-93</t>
  </si>
  <si>
    <t>CIMS SA</t>
  </si>
  <si>
    <t>CMSA4</t>
  </si>
  <si>
    <t>CNES11</t>
  </si>
  <si>
    <t>13.551.286/0001-45</t>
  </si>
  <si>
    <t>CENESP</t>
  </si>
  <si>
    <t>CNSY3</t>
  </si>
  <si>
    <t>07.437.016/0001-05</t>
  </si>
  <si>
    <t>CINESYSTEM S.A.</t>
  </si>
  <si>
    <t>CNTO3</t>
  </si>
  <si>
    <t>13.217.305/0001-11</t>
  </si>
  <si>
    <t>GRUPO SBF S.A.</t>
  </si>
  <si>
    <t>COCE3</t>
  </si>
  <si>
    <t>07.047.251/0001-70</t>
  </si>
  <si>
    <t>CIA ENERG CEARA – COELCE</t>
  </si>
  <si>
    <t>COCE5</t>
  </si>
  <si>
    <t>COCE6</t>
  </si>
  <si>
    <t>COGN3</t>
  </si>
  <si>
    <t>02.800.026/0001-40</t>
  </si>
  <si>
    <t>KROTON EDUCACIONAL S.A.</t>
  </si>
  <si>
    <t>CORR3</t>
  </si>
  <si>
    <t>15.101.405/0001-93</t>
  </si>
  <si>
    <t>CORREA RIBEIRO SA COM IND</t>
  </si>
  <si>
    <t>CORR4</t>
  </si>
  <si>
    <t>CPFE3</t>
  </si>
  <si>
    <t>02.429.144/0001-93</t>
  </si>
  <si>
    <t>CPFL ENERGIA SA</t>
  </si>
  <si>
    <t>CPLE3</t>
  </si>
  <si>
    <t>76.303.817/0001-20</t>
  </si>
  <si>
    <t>COMPANHIA PARANAENSE DE ENERGIA</t>
  </si>
  <si>
    <t>CPLE5</t>
  </si>
  <si>
    <t>CPLE6</t>
  </si>
  <si>
    <t>CPRE3</t>
  </si>
  <si>
    <t>08.439.659/0001-50</t>
  </si>
  <si>
    <t>CPFL ENERGIAS RENOVÁVEIS S.A.</t>
  </si>
  <si>
    <t>CPTP3B</t>
  </si>
  <si>
    <t>02.591.787/0001-39</t>
  </si>
  <si>
    <t>CAPITALPART PARTICIPAÇÕES SA</t>
  </si>
  <si>
    <t>CPTS11B</t>
  </si>
  <si>
    <t>18.979.895/0001-13</t>
  </si>
  <si>
    <t>Capitania Securities</t>
  </si>
  <si>
    <t>CRDE3</t>
  </si>
  <si>
    <t>07.820.907/0001-46</t>
  </si>
  <si>
    <t>CR2 EMPREENDIMENTOS IMOBILIÁRIOS S/A</t>
  </si>
  <si>
    <t>CRFB3</t>
  </si>
  <si>
    <t>75.315.333/0001-09</t>
  </si>
  <si>
    <t>ATACADÃO S.A.</t>
  </si>
  <si>
    <t>CRIV3</t>
  </si>
  <si>
    <t>17.167.412/0001-13</t>
  </si>
  <si>
    <t>FINANCEIRA ALFA S.A.- C.F.I</t>
  </si>
  <si>
    <t>CRIV4</t>
  </si>
  <si>
    <t>CRPG3</t>
  </si>
  <si>
    <t>15.115.504/0001-24</t>
  </si>
  <si>
    <t>TRONOX PIGMENTOS DO BRASIL S.A.</t>
  </si>
  <si>
    <t>CRPG5</t>
  </si>
  <si>
    <t>CRPG6</t>
  </si>
  <si>
    <t>CRTE3B</t>
  </si>
  <si>
    <t>00.938.574/0001-05</t>
  </si>
  <si>
    <t>CONCESSIONARIA RIO-TERESOPOLIS SA</t>
  </si>
  <si>
    <t>CRTE5B</t>
  </si>
  <si>
    <t>CSAB3</t>
  </si>
  <si>
    <t>15.144.017/0001-90</t>
  </si>
  <si>
    <t>CIA SEGUROS ALIANCA BAHIA</t>
  </si>
  <si>
    <t>CSAB4</t>
  </si>
  <si>
    <t>CSAN3</t>
  </si>
  <si>
    <t>50.746.577/0001-15</t>
  </si>
  <si>
    <t>COSAN S.A.</t>
  </si>
  <si>
    <t>CSMG3</t>
  </si>
  <si>
    <t>17.281.106/0001-03</t>
  </si>
  <si>
    <t>COMPANHIA DE SANEAMENTO DE MINAS GERAIS</t>
  </si>
  <si>
    <t>CSNA3</t>
  </si>
  <si>
    <t>33.042.730/0001-04</t>
  </si>
  <si>
    <t>CIA SIDERURGICA NACIONAL</t>
  </si>
  <si>
    <t>CSRN3</t>
  </si>
  <si>
    <t>08.324.196/0001-81</t>
  </si>
  <si>
    <t>CIA ENERGÉTICA DO RIO GRANDE DO NORTE</t>
  </si>
  <si>
    <t>CSRN5</t>
  </si>
  <si>
    <t>CSRN6</t>
  </si>
  <si>
    <t>CTCA3</t>
  </si>
  <si>
    <t>06.981.381/0001-13</t>
  </si>
  <si>
    <t>CTC – CENTRO DE TECNOLOGIA CANAVIEIRA S.A.</t>
  </si>
  <si>
    <t>CTKA3</t>
  </si>
  <si>
    <t>82.640.558/0001-04</t>
  </si>
  <si>
    <t>KARSTEN SA</t>
  </si>
  <si>
    <t>CTKA4</t>
  </si>
  <si>
    <t>CTNM3</t>
  </si>
  <si>
    <t>22.677.520/0001-76</t>
  </si>
  <si>
    <t>CIA TECIDOS NORTE DE MINAS – COTEMINAS</t>
  </si>
  <si>
    <t>CTNM4</t>
  </si>
  <si>
    <t>CTSA3</t>
  </si>
  <si>
    <t>21.255.567/0001-89</t>
  </si>
  <si>
    <t>CIA TECIDOS SANTANENSE</t>
  </si>
  <si>
    <t>CTSA4</t>
  </si>
  <si>
    <t>CTSA8</t>
  </si>
  <si>
    <t>CTXT11</t>
  </si>
  <si>
    <t>00.762.723/0001-28</t>
  </si>
  <si>
    <t>Centro Têxtil Internacional</t>
  </si>
  <si>
    <t>CURY3</t>
  </si>
  <si>
    <t>08.797.760/0001-83</t>
  </si>
  <si>
    <t>CURY CONSTRUTORA E INCORPORADORA S.A.</t>
  </si>
  <si>
    <t>CVCB3</t>
  </si>
  <si>
    <t>10.760.260/0001-19</t>
  </si>
  <si>
    <t>CVC BRASIL OPERADORA E AGÊNCIA DE VIAGENS SA</t>
  </si>
  <si>
    <t>CXCE11B</t>
  </si>
  <si>
    <t>10.991.914/0001-15</t>
  </si>
  <si>
    <t>Caixa Cedae</t>
  </si>
  <si>
    <t>CXRI11</t>
  </si>
  <si>
    <t>17.098.794/0001-70</t>
  </si>
  <si>
    <t>Caixa Rio Bravo</t>
  </si>
  <si>
    <t>CXTL11</t>
  </si>
  <si>
    <t>12.887.506/0001-43</t>
  </si>
  <si>
    <t>Caixa TRX Logística Renda</t>
  </si>
  <si>
    <t>CYRE3</t>
  </si>
  <si>
    <t>73.178.600/0001-18</t>
  </si>
  <si>
    <t>CYRELA BRAZIL REALTY SA EMPRS E PARTS</t>
  </si>
  <si>
    <t>DASA3</t>
  </si>
  <si>
    <t>61.306.650/0001-83</t>
  </si>
  <si>
    <t>DIAGNOSTICOS DA AMERICA SA</t>
  </si>
  <si>
    <t>DIRR3</t>
  </si>
  <si>
    <t>16.614.075/0001-00</t>
  </si>
  <si>
    <t>DIRECIONAL ENGENHARIA SA</t>
  </si>
  <si>
    <t>DIVO11</t>
  </si>
  <si>
    <t>13.416.245/0001-46</t>
  </si>
  <si>
    <t>IT Now Idiv Fundo de Indice (DIVO11)</t>
  </si>
  <si>
    <t>DMMO11</t>
  </si>
  <si>
    <t>08.926.302/0001-05</t>
  </si>
  <si>
    <t>DOMMO ENERGIA S.A.</t>
  </si>
  <si>
    <t>DMMO3</t>
  </si>
  <si>
    <t>DOHL3</t>
  </si>
  <si>
    <t>84.683.408/0001-03</t>
  </si>
  <si>
    <t>DOHLER S.A.</t>
  </si>
  <si>
    <t>DOHL4</t>
  </si>
  <si>
    <t>DOMC11</t>
  </si>
  <si>
    <t>17.374.696/0001-19</t>
  </si>
  <si>
    <t>Reag Renda Imobiliária</t>
  </si>
  <si>
    <t>DRIT11B</t>
  </si>
  <si>
    <t>10.456.810/0001-00</t>
  </si>
  <si>
    <t>Multigestão Renda Comercial</t>
  </si>
  <si>
    <t>DTCY3</t>
  </si>
  <si>
    <t>03.303.999/0001-36</t>
  </si>
  <si>
    <t>DTCOM – DIRECT TO COMPANY S.A.</t>
  </si>
  <si>
    <t>DTCY4</t>
  </si>
  <si>
    <t>DTEX3</t>
  </si>
  <si>
    <t>97.837.181/0001-47</t>
  </si>
  <si>
    <t>DURATEX S.A.</t>
  </si>
  <si>
    <t>EALT3</t>
  </si>
  <si>
    <t>82.643.537/0001-34</t>
  </si>
  <si>
    <t>ELECTRO AÇO ALTONA S/A</t>
  </si>
  <si>
    <t>EALT4</t>
  </si>
  <si>
    <t>ECOR3</t>
  </si>
  <si>
    <t>04.149.454/0001-80</t>
  </si>
  <si>
    <t>ECORODOVIAS INFRAESTRUTURA E LOGÍSTICA S.A.</t>
  </si>
  <si>
    <t>ECPR3</t>
  </si>
  <si>
    <t>01.971.614/0001-83</t>
  </si>
  <si>
    <t>EMP.NAC. DE COMÉRCIO, RÉDITO E PART. S.A. – ENCORPAR</t>
  </si>
  <si>
    <t>ECPR4</t>
  </si>
  <si>
    <t>EDFO11B</t>
  </si>
  <si>
    <t>06.175.262/0001-73</t>
  </si>
  <si>
    <t>Edifício Ourinvest</t>
  </si>
  <si>
    <t>EDGA11</t>
  </si>
  <si>
    <t>15.333.306/0001-37</t>
  </si>
  <si>
    <t>Edifício Galeria</t>
  </si>
  <si>
    <t>EEEL3</t>
  </si>
  <si>
    <t>92.715.812/0001-31</t>
  </si>
  <si>
    <t>CIA ESTADUAL DE GERACAO E TRANSMISSAO DE ENERGIA ELETRICA</t>
  </si>
  <si>
    <t>EEEL4</t>
  </si>
  <si>
    <t>EGIE3</t>
  </si>
  <si>
    <t>02.474.103/0001-19</t>
  </si>
  <si>
    <t>ENGIE BRASIL ENERGIA S.A.</t>
  </si>
  <si>
    <t>EKTR3</t>
  </si>
  <si>
    <t>02.328.280/0001-97</t>
  </si>
  <si>
    <t>ELEKTRO REDES S.A.</t>
  </si>
  <si>
    <t>EKTR4</t>
  </si>
  <si>
    <t>ELDO11B</t>
  </si>
  <si>
    <t>13.022.994/0001-99</t>
  </si>
  <si>
    <t>Eldorado</t>
  </si>
  <si>
    <t>ELEK3</t>
  </si>
  <si>
    <t>13.788.120/0001-47</t>
  </si>
  <si>
    <t>ELEKEIROZ S/A</t>
  </si>
  <si>
    <t>ELEK4</t>
  </si>
  <si>
    <t>ELET3</t>
  </si>
  <si>
    <t>00.001.180/0001-26</t>
  </si>
  <si>
    <t>CENTRAIS ELETRICAS BRASILEIRAS SA</t>
  </si>
  <si>
    <t>ELET5</t>
  </si>
  <si>
    <t>ELET6</t>
  </si>
  <si>
    <t>EMAE3</t>
  </si>
  <si>
    <t>02.302.101/0001-42</t>
  </si>
  <si>
    <t>EMAE-EMP.METROPOLITANA ÁGUAS ENERGIA S.A</t>
  </si>
  <si>
    <t>EMAE4</t>
  </si>
  <si>
    <t>EMBR3</t>
  </si>
  <si>
    <t>07.689.002/0001-89</t>
  </si>
  <si>
    <t>EMBRAER S.A.</t>
  </si>
  <si>
    <t>ENAT3</t>
  </si>
  <si>
    <t>11.669.021/0001-10</t>
  </si>
  <si>
    <t>ENAUTA PARTICIPAÇÕES S.A.</t>
  </si>
  <si>
    <t>ENBR3</t>
  </si>
  <si>
    <t>03.983.431/0001-03</t>
  </si>
  <si>
    <t>EDP ENERGIAS DO BRASIL S/A</t>
  </si>
  <si>
    <t>ENEV3</t>
  </si>
  <si>
    <t>04.423.567/0001-21</t>
  </si>
  <si>
    <t>ENEVA S.A.</t>
  </si>
  <si>
    <t>ENGI11</t>
  </si>
  <si>
    <t>00.864.214/0001-06</t>
  </si>
  <si>
    <t>ENERGISA SA</t>
  </si>
  <si>
    <t>ENGI12</t>
  </si>
  <si>
    <t>ENGI3</t>
  </si>
  <si>
    <t>ENGI4</t>
  </si>
  <si>
    <t>ENMT3</t>
  </si>
  <si>
    <t>03.467.321/0001-99</t>
  </si>
  <si>
    <t>ENERGISA MATO GROSSO – DISTRIBUIDORA DE ENERGIA S.A.</t>
  </si>
  <si>
    <t>ENMT4</t>
  </si>
  <si>
    <t>EQMA3B</t>
  </si>
  <si>
    <t>06.272.793/0001-84</t>
  </si>
  <si>
    <t>COMPANHIA ENERGÉTICA DO MARANHÃO CEMAR</t>
  </si>
  <si>
    <t>EQMA5B</t>
  </si>
  <si>
    <t>EQMA6B</t>
  </si>
  <si>
    <t>EQPA3</t>
  </si>
  <si>
    <t>04.895.728/0001-80</t>
  </si>
  <si>
    <t>CENTRAIS ELÉTRICAS DO PARÁ S.A. – CELPA</t>
  </si>
  <si>
    <t>EQPA5</t>
  </si>
  <si>
    <t>EQPA6</t>
  </si>
  <si>
    <t>EQPA7</t>
  </si>
  <si>
    <t>EQTL3</t>
  </si>
  <si>
    <t>03.220.438/0001-73</t>
  </si>
  <si>
    <t>EQUATORIAL ENERGIA S/A</t>
  </si>
  <si>
    <t>ESTR3</t>
  </si>
  <si>
    <t>61.082.004/0001-50</t>
  </si>
  <si>
    <t>MANUFATURA DE  BRINQUEDOS ESTRELA SA</t>
  </si>
  <si>
    <t>ESTR4</t>
  </si>
  <si>
    <t>ETER3</t>
  </si>
  <si>
    <t>61.092.037/0001-81</t>
  </si>
  <si>
    <t>ETERNIT S.A.- EM RECUPERAÇÃO JUDICIAL</t>
  </si>
  <si>
    <t>EUCA3</t>
  </si>
  <si>
    <t>56.643.018/0001-66</t>
  </si>
  <si>
    <t>EUCATEX SA IND E COMERCIO</t>
  </si>
  <si>
    <t>EUCA4</t>
  </si>
  <si>
    <t>EURO11</t>
  </si>
  <si>
    <t>05.437.916/0001-27</t>
  </si>
  <si>
    <t>EUROPAR</t>
  </si>
  <si>
    <t>EVEN3</t>
  </si>
  <si>
    <t>43.470.988/0001-65</t>
  </si>
  <si>
    <t>EVEN CONSTRUTORA E INCORPORADORA S/A</t>
  </si>
  <si>
    <t>EZTC3</t>
  </si>
  <si>
    <t>08.312.229/0001-73</t>
  </si>
  <si>
    <t>EZ TEC EMPREEND. E PARTICIPAÇÕES S/A</t>
  </si>
  <si>
    <t>FAED11</t>
  </si>
  <si>
    <t>11.179.118/0001-45</t>
  </si>
  <si>
    <t>Anhanguera Educacional</t>
  </si>
  <si>
    <t>FAMB11B</t>
  </si>
  <si>
    <t>05.562.312/0001-02</t>
  </si>
  <si>
    <t>Edifício Almirante Barroso</t>
  </si>
  <si>
    <t>FCAP3</t>
  </si>
  <si>
    <t>33.017.039/0001-70</t>
  </si>
  <si>
    <t>MASSA FALIDA DE SAM INDUSTRIAS SA</t>
  </si>
  <si>
    <t>FCAP4</t>
  </si>
  <si>
    <t>FCAS11</t>
  </si>
  <si>
    <t>10.993.386/0001-33</t>
  </si>
  <si>
    <t>Edifício Castelo</t>
  </si>
  <si>
    <t>FCFL11</t>
  </si>
  <si>
    <t>11.602.654/0001-01</t>
  </si>
  <si>
    <t>Campus Faria Lima</t>
  </si>
  <si>
    <t>FESA3</t>
  </si>
  <si>
    <t>15.141.799/0001-03</t>
  </si>
  <si>
    <t>CIA FERRO LIGAS BAHIA FERBASA</t>
  </si>
  <si>
    <t>FESA4</t>
  </si>
  <si>
    <t>FEXC11</t>
  </si>
  <si>
    <t>09.552.812/0001-14</t>
  </si>
  <si>
    <t>BTG Pactual Fundo de CRI</t>
  </si>
  <si>
    <t>FFCI11</t>
  </si>
  <si>
    <t>03.683.056/0001-86</t>
  </si>
  <si>
    <t>Rio Bravo Renda Corporativa</t>
  </si>
  <si>
    <t>FHER3</t>
  </si>
  <si>
    <t>22.266.175/0001-88</t>
  </si>
  <si>
    <t>FERTILIZANTES HERINGER S.A. – EM RECUPERAÇÃO JUDICIAL</t>
  </si>
  <si>
    <t>FIGE3</t>
  </si>
  <si>
    <t>01.530.981/0001-79</t>
  </si>
  <si>
    <t>INVESTIMENTOS BEMGE S.A.</t>
  </si>
  <si>
    <t>FIGE4</t>
  </si>
  <si>
    <t>FIGS11</t>
  </si>
  <si>
    <t>17.590.518/0001-25</t>
  </si>
  <si>
    <t>General Shopping Ativo e Renda</t>
  </si>
  <si>
    <t>FIIB11</t>
  </si>
  <si>
    <t>14.217.108/0001-45</t>
  </si>
  <si>
    <t>Industrial do Brasil</t>
  </si>
  <si>
    <t>FIIP11B</t>
  </si>
  <si>
    <t>08.696.175/0001-97</t>
  </si>
  <si>
    <t>RB Capital Renda I</t>
  </si>
  <si>
    <t>FIVN11</t>
  </si>
  <si>
    <t>17.854.016/0001-64</t>
  </si>
  <si>
    <t>Vida Nova</t>
  </si>
  <si>
    <t>FIXX11</t>
  </si>
  <si>
    <t>17.329.029/0001-14</t>
  </si>
  <si>
    <t>Fator IFIX</t>
  </si>
  <si>
    <t>FLEX3</t>
  </si>
  <si>
    <t>10.851.805/0001-00</t>
  </si>
  <si>
    <t>FLEX GESTÃO DE RELACIONAMENTO S.A.</t>
  </si>
  <si>
    <t>FLMA11</t>
  </si>
  <si>
    <t>04.141.645/0001-03</t>
  </si>
  <si>
    <t>Continental Square Faria Lima</t>
  </si>
  <si>
    <t>FLRP11</t>
  </si>
  <si>
    <t>10.375.382/0001-91</t>
  </si>
  <si>
    <t>Floripa Shopping</t>
  </si>
  <si>
    <t>FLRY3</t>
  </si>
  <si>
    <t>60.840.055/0001-31</t>
  </si>
  <si>
    <t>FLEURY SA</t>
  </si>
  <si>
    <t>FMOF11</t>
  </si>
  <si>
    <t>01.633.741/0001-72</t>
  </si>
  <si>
    <t>Memorial Office</t>
  </si>
  <si>
    <t>FNCN3</t>
  </si>
  <si>
    <t>91.669.747/0001-92</t>
  </si>
  <si>
    <t>FINANSINOS S/A-CRÉDITO, FINAN. E INVEST.</t>
  </si>
  <si>
    <t>FOFT11</t>
  </si>
  <si>
    <t>16.875.388/0001-04</t>
  </si>
  <si>
    <t>CSHG TOP FOFII 2</t>
  </si>
  <si>
    <t>FPAB11</t>
  </si>
  <si>
    <t>03.251.720/0001-18</t>
  </si>
  <si>
    <t>Projeto Agua Branca</t>
  </si>
  <si>
    <t>FPNG11</t>
  </si>
  <si>
    <t>17.161.979/0001-82</t>
  </si>
  <si>
    <t>Pedra Negra Renda Imobiliária</t>
  </si>
  <si>
    <t>FRAS3</t>
  </si>
  <si>
    <t>88.610.126/0001-29</t>
  </si>
  <si>
    <t>FRAS-LE SA</t>
  </si>
  <si>
    <t>FRIO3</t>
  </si>
  <si>
    <t>04.821.041/0001-08</t>
  </si>
  <si>
    <t>METALFRIO SOLUTIONS S/A</t>
  </si>
  <si>
    <t>FRRN3B</t>
  </si>
  <si>
    <t>24.962.466/0001-36</t>
  </si>
  <si>
    <t>RUMO MALHA NORTE S.A.</t>
  </si>
  <si>
    <t>FRRN5B</t>
  </si>
  <si>
    <t>FRRN6B</t>
  </si>
  <si>
    <t>FRTA3</t>
  </si>
  <si>
    <t>86.550.951/0001-50</t>
  </si>
  <si>
    <t>POMIFRUTAS S/A – EM RECUPERAÇÃO JUDICIAL</t>
  </si>
  <si>
    <t>FVBI11</t>
  </si>
  <si>
    <t>13.022.993/0001-44</t>
  </si>
  <si>
    <t>VBI FL 4440</t>
  </si>
  <si>
    <t>FVPQ11</t>
  </si>
  <si>
    <t>00.332.266/0001-31</t>
  </si>
  <si>
    <t>Via Parque Shopping</t>
  </si>
  <si>
    <t>GAFL-CRA02B0</t>
  </si>
  <si>
    <t>14.876.090/0001-93</t>
  </si>
  <si>
    <t>GAIA AGRO SECURITIZADORA S.A.</t>
  </si>
  <si>
    <t>GBIO33</t>
  </si>
  <si>
    <t>19.688.956/0001-56</t>
  </si>
  <si>
    <t>BIOTOSCANA INVESTMENTS S.A.</t>
  </si>
  <si>
    <t>GEPA3</t>
  </si>
  <si>
    <t>02.998.301/0001-81</t>
  </si>
  <si>
    <t>RIO PARANAPANEMA ENERGIA SA</t>
  </si>
  <si>
    <t>GEPA4</t>
  </si>
  <si>
    <t>GFSA3</t>
  </si>
  <si>
    <t>01.545.826/0001-07</t>
  </si>
  <si>
    <t>GAFISA SA</t>
  </si>
  <si>
    <t>GGBR3</t>
  </si>
  <si>
    <t>33.611.500/0001-19</t>
  </si>
  <si>
    <t>GERDAU S.A.</t>
  </si>
  <si>
    <t>GGBR4</t>
  </si>
  <si>
    <t>GGRC11</t>
  </si>
  <si>
    <t>26.614.291/0001-00</t>
  </si>
  <si>
    <t>GGR Covepi Renda</t>
  </si>
  <si>
    <t>GMAT3</t>
  </si>
  <si>
    <t>24.990.777/0001-09</t>
  </si>
  <si>
    <t>GRUPO MATEUS S.A.</t>
  </si>
  <si>
    <t>GNDI3</t>
  </si>
  <si>
    <t>19.853.511/0001-84</t>
  </si>
  <si>
    <t>NOTRE DAME INTERMÉDICA PARTICIPAÇÕES S.A.</t>
  </si>
  <si>
    <t>GOAU3</t>
  </si>
  <si>
    <t>92.690.783/0001-09</t>
  </si>
  <si>
    <t>METALURGICA GERDAU SA</t>
  </si>
  <si>
    <t>GOAU4</t>
  </si>
  <si>
    <t>GOLL11</t>
  </si>
  <si>
    <t>06.164.253/0001-87</t>
  </si>
  <si>
    <t>GOL LINHAS AEREAS INTELIGENTES SA</t>
  </si>
  <si>
    <t>GOLL12</t>
  </si>
  <si>
    <t>GOLL4</t>
  </si>
  <si>
    <t>GPAR3</t>
  </si>
  <si>
    <t>08.560.444/0001-93</t>
  </si>
  <si>
    <t>COMPANHIA CELG DE PARTICIPAÇÕES</t>
  </si>
  <si>
    <t>GPCP3</t>
  </si>
  <si>
    <t>02.193.750/0001-52</t>
  </si>
  <si>
    <t>GPC PARTICIPACOES SA</t>
  </si>
  <si>
    <t>GPCP4</t>
  </si>
  <si>
    <t>GRLV11</t>
  </si>
  <si>
    <t>17.143.998/0001-86</t>
  </si>
  <si>
    <t>CSHG GR Louveira</t>
  </si>
  <si>
    <t>GRND3</t>
  </si>
  <si>
    <t>89.850.341/0001-60</t>
  </si>
  <si>
    <t>GRENDENE SA</t>
  </si>
  <si>
    <t>GSHP3</t>
  </si>
  <si>
    <t>08.764.621/0001-53</t>
  </si>
  <si>
    <t>GENERAL SHOPPING E OUTLETS DO BRASIL S.A.</t>
  </si>
  <si>
    <t>GTWR11</t>
  </si>
  <si>
    <t>23.740.527/0001-58</t>
  </si>
  <si>
    <t>FDO INV IMOB GREEN TOWERS</t>
  </si>
  <si>
    <t>GUAR3</t>
  </si>
  <si>
    <t>08.402.943/0001-52</t>
  </si>
  <si>
    <t>GUARARAPES CONFECÇÕES SA</t>
  </si>
  <si>
    <t>HAGA3</t>
  </si>
  <si>
    <t>30.540.991/0001-66</t>
  </si>
  <si>
    <t>HAGA S.A. INDÚSTRIA E COMÉRCIO</t>
  </si>
  <si>
    <t>HAGA4</t>
  </si>
  <si>
    <t>HAPV3</t>
  </si>
  <si>
    <t>05.197.443/0001-38</t>
  </si>
  <si>
    <t>HAPVIDA PARTICIPAÇÕES E INVESTIMENTOS S.A.</t>
  </si>
  <si>
    <t>HBOR3</t>
  </si>
  <si>
    <t>49.263.189/0001-02</t>
  </si>
  <si>
    <t>HELBOR EMPREENDIMENTOS S/A</t>
  </si>
  <si>
    <t>HBSA3</t>
  </si>
  <si>
    <t>12.630.327/0001-53</t>
  </si>
  <si>
    <t>HIDROVIAS DO BRASIL S.A.</t>
  </si>
  <si>
    <t>HBTS3</t>
  </si>
  <si>
    <t>87.762.563/0001-03</t>
  </si>
  <si>
    <t>COMPANHIIA HABITASUL DE PARTICIPAÇÕES</t>
  </si>
  <si>
    <t>HBTS5</t>
  </si>
  <si>
    <t>HBTS6</t>
  </si>
  <si>
    <t>HCRI11</t>
  </si>
  <si>
    <t>04.066.582/0001-60</t>
  </si>
  <si>
    <t>Hospital da Criança</t>
  </si>
  <si>
    <t>HETA3</t>
  </si>
  <si>
    <t>92.749.225/0001-63</t>
  </si>
  <si>
    <t>HERCULES S/A – FABRICA DE TALHERES</t>
  </si>
  <si>
    <t>HETA4</t>
  </si>
  <si>
    <t>HFOF11</t>
  </si>
  <si>
    <t>18.307.582/0001-19</t>
  </si>
  <si>
    <t>Hedge Top FOFII 3</t>
  </si>
  <si>
    <t>HGBS11</t>
  </si>
  <si>
    <t>08.431.747/0001-06</t>
  </si>
  <si>
    <t>CSHG Brasil Shopping</t>
  </si>
  <si>
    <t>HGCR11</t>
  </si>
  <si>
    <t>11.160.521/0001-22</t>
  </si>
  <si>
    <t>CSHG Recebíveis Imobiliários</t>
  </si>
  <si>
    <t>HGLG11</t>
  </si>
  <si>
    <t>11.728.688/0001-47</t>
  </si>
  <si>
    <t>CSHG Logística</t>
  </si>
  <si>
    <t>HGPO11</t>
  </si>
  <si>
    <t>11.260.134/0001-68</t>
  </si>
  <si>
    <t>CSHG Prime Offices</t>
  </si>
  <si>
    <t>HGRE11</t>
  </si>
  <si>
    <t>09.072.017/0001-29</t>
  </si>
  <si>
    <t>CSHG Real Estate</t>
  </si>
  <si>
    <t>HGRU11</t>
  </si>
  <si>
    <t>29.641.226/0001-53</t>
  </si>
  <si>
    <t>CSHG Renda Urbana</t>
  </si>
  <si>
    <t>HGTX3</t>
  </si>
  <si>
    <t>78.876.950/0001-71</t>
  </si>
  <si>
    <t>CIA HERING</t>
  </si>
  <si>
    <t>HOOT3</t>
  </si>
  <si>
    <t>33.200.049/0001-47</t>
  </si>
  <si>
    <t>HOTEIS OTHON SA</t>
  </si>
  <si>
    <t>HOOT4</t>
  </si>
  <si>
    <t>HSML11</t>
  </si>
  <si>
    <t>32.892.018/0001-31</t>
  </si>
  <si>
    <t>HSI MALL FDO INV IMOB</t>
  </si>
  <si>
    <t>HTMX11</t>
  </si>
  <si>
    <t>08.706.065/0001-69</t>
  </si>
  <si>
    <t>Hotel Maxinvest</t>
  </si>
  <si>
    <t>HYPE3</t>
  </si>
  <si>
    <t>02.932.074/0001-91</t>
  </si>
  <si>
    <t>HYPERA S/A</t>
  </si>
  <si>
    <t>IDNT3</t>
  </si>
  <si>
    <t>02.365.069/0001-44</t>
  </si>
  <si>
    <t>IDEIASNET SA</t>
  </si>
  <si>
    <t>IDVL3</t>
  </si>
  <si>
    <t>61.024.352/0001-71</t>
  </si>
  <si>
    <t>BANCO INDUSVAL S.A.</t>
  </si>
  <si>
    <t>IDVL4</t>
  </si>
  <si>
    <t>IGBR3</t>
  </si>
  <si>
    <t>43.185.362/0001-07</t>
  </si>
  <si>
    <t>IGB ELETRÔNICA S.A. – EM RECUPERAÇÃO JUDICIAL</t>
  </si>
  <si>
    <t>IGSN3</t>
  </si>
  <si>
    <t>08.159.965/0001-33</t>
  </si>
  <si>
    <t>IGUA SANEAMENTO S.A.</t>
  </si>
  <si>
    <t>IGTA3</t>
  </si>
  <si>
    <t>51.218.147/0001-93</t>
  </si>
  <si>
    <t>IGUATEMI EMPRESA DE SHOPPING CENTERS S/A</t>
  </si>
  <si>
    <t>INEP3</t>
  </si>
  <si>
    <t>76.627.504/0001-06</t>
  </si>
  <si>
    <t>INEPAR SA IND E CONSTRUÇÕES – EM RECUPERAÇÃO JUDICIAL</t>
  </si>
  <si>
    <t>INEP4</t>
  </si>
  <si>
    <t>INNT3</t>
  </si>
  <si>
    <t>09.611.768/0001-76</t>
  </si>
  <si>
    <t>INTER CONSTRUTORA E INCORPORADORA S.A</t>
  </si>
  <si>
    <t>IRBR3</t>
  </si>
  <si>
    <t>33.376.989/0001-91</t>
  </si>
  <si>
    <t>IRB – BRASIL RESSEGUROS S.A.</t>
  </si>
  <si>
    <t>IRDM11</t>
  </si>
  <si>
    <t>28.830.325/0001-10</t>
  </si>
  <si>
    <t>Iridium Recebíveis Imobiliários</t>
  </si>
  <si>
    <t>ITSA3</t>
  </si>
  <si>
    <t>61.532.644/0001-15</t>
  </si>
  <si>
    <t>ITAÚSA – INVESTIMENTOS ITAÚ S.A.</t>
  </si>
  <si>
    <t>ITSA4</t>
  </si>
  <si>
    <t>ITUB3</t>
  </si>
  <si>
    <t>60.872.504/0001-23</t>
  </si>
  <si>
    <t>ITAÚ UNIBANCO HOLDING S.A.</t>
  </si>
  <si>
    <t>IVPR3B</t>
  </si>
  <si>
    <t>03.758.318/0001-24</t>
  </si>
  <si>
    <t>INVEST.E PART.EM INFRA-ESTR.S/A-INVEPAR</t>
  </si>
  <si>
    <t>IVPR4B</t>
  </si>
  <si>
    <t>JBDU3</t>
  </si>
  <si>
    <t>60.637.238/0001-54</t>
  </si>
  <si>
    <t>INDS J B DUARTE SA</t>
  </si>
  <si>
    <t>JBDU4</t>
  </si>
  <si>
    <t>JBSS3</t>
  </si>
  <si>
    <t>02.916.265/0001-60</t>
  </si>
  <si>
    <t>JBS SA</t>
  </si>
  <si>
    <t>JFEN3</t>
  </si>
  <si>
    <t>33.035.536/0001-00</t>
  </si>
  <si>
    <t>JOAO FORTES ENGENHARIA SA</t>
  </si>
  <si>
    <t>JHSF3</t>
  </si>
  <si>
    <t>08.294.224/0001-65</t>
  </si>
  <si>
    <t>JHSF PARTICIPAÇÕES SA</t>
  </si>
  <si>
    <t>JOPA3</t>
  </si>
  <si>
    <t>87.456.562/0001-22</t>
  </si>
  <si>
    <t>JOSAPAR- JOAQUIM OLIVEIRA S/A PARTICIP</t>
  </si>
  <si>
    <t>JOPA4</t>
  </si>
  <si>
    <t>JPPC11</t>
  </si>
  <si>
    <t>17.216.625/0001-98</t>
  </si>
  <si>
    <t>JPP Capital</t>
  </si>
  <si>
    <t>JPSA3</t>
  </si>
  <si>
    <t>60.543.816/0001-93</t>
  </si>
  <si>
    <t>JEREISSATI PARTICIPAÇÕES S/A</t>
  </si>
  <si>
    <t>JRDM11</t>
  </si>
  <si>
    <t>14.879.856/0001-93</t>
  </si>
  <si>
    <t>Shopping Jardim Sul</t>
  </si>
  <si>
    <t>JSLG3</t>
  </si>
  <si>
    <t>52.530.435/0001-79</t>
  </si>
  <si>
    <t>JSL S.A.</t>
  </si>
  <si>
    <t>JSRE11</t>
  </si>
  <si>
    <t>13.371.132/0001-71</t>
  </si>
  <si>
    <t>JS Real Estate Multigestão</t>
  </si>
  <si>
    <t>JTPR11</t>
  </si>
  <si>
    <t>23.876.086/0001-16</t>
  </si>
  <si>
    <t>JT Prev FII Desenvolvimento Habitacional</t>
  </si>
  <si>
    <t>KEPL11</t>
  </si>
  <si>
    <t>91.983.056/0001-69</t>
  </si>
  <si>
    <t>KEPLER WEBER SA</t>
  </si>
  <si>
    <t>KEPL3</t>
  </si>
  <si>
    <t>KLBN11</t>
  </si>
  <si>
    <t>89.637.490/0001-45</t>
  </si>
  <si>
    <t>KLABIN S.A.</t>
  </si>
  <si>
    <t>KLBN3</t>
  </si>
  <si>
    <t>KLBN4</t>
  </si>
  <si>
    <t>KNCR11</t>
  </si>
  <si>
    <t>16.706.958/0001-32</t>
  </si>
  <si>
    <t>Kinea Rendimentos Imobiliários</t>
  </si>
  <si>
    <t>KNIP11</t>
  </si>
  <si>
    <t>24.960.430/0001-13</t>
  </si>
  <si>
    <t>Kinea Índices de Preços</t>
  </si>
  <si>
    <t>KNRI11</t>
  </si>
  <si>
    <t>12.005.956/0001-65</t>
  </si>
  <si>
    <t>Kinea Renda Imobiliária</t>
  </si>
  <si>
    <t>LAME10</t>
  </si>
  <si>
    <t>33.014.556/0001-96</t>
  </si>
  <si>
    <t>LOJAS AMERICANAS SA</t>
  </si>
  <si>
    <t>LAME3</t>
  </si>
  <si>
    <t>LAME4</t>
  </si>
  <si>
    <t>LCAM3</t>
  </si>
  <si>
    <t>10.215.988/0001-60</t>
  </si>
  <si>
    <t>COMPANHIA DE LOCAÇÃO DAS AMERICAS</t>
  </si>
  <si>
    <t>LEVE3</t>
  </si>
  <si>
    <t>60.476.884/0001-87</t>
  </si>
  <si>
    <t>MAHLE METAL LEVE S.A.</t>
  </si>
  <si>
    <t>LIGT3</t>
  </si>
  <si>
    <t>03.378.521/0001-75</t>
  </si>
  <si>
    <t>LIGHT SA</t>
  </si>
  <si>
    <t>LINX3</t>
  </si>
  <si>
    <t>06.930.969/0001-75</t>
  </si>
  <si>
    <t>LINX S.A.</t>
  </si>
  <si>
    <t>LIPR3</t>
  </si>
  <si>
    <t>01.104.937/0001-70</t>
  </si>
  <si>
    <t>ELETROBRÁS PARTICIPAÇÕES S.A. – ELETROPAR</t>
  </si>
  <si>
    <t>LIQO3</t>
  </si>
  <si>
    <t>04.032.433/0001-80</t>
  </si>
  <si>
    <t>LIQ PARTICIPAÇÕES S.A.</t>
  </si>
  <si>
    <t>LJQQ3</t>
  </si>
  <si>
    <t>96.418.264/0218-02</t>
  </si>
  <si>
    <t>LOJAS QUERO-QUERO S/A</t>
  </si>
  <si>
    <t>LLIS3</t>
  </si>
  <si>
    <t>49.669.856/0001-43</t>
  </si>
  <si>
    <t>RESTOQUE COMÉRCIO E CONFECÇÕES DE ROUPAS SA</t>
  </si>
  <si>
    <t>LMED3</t>
  </si>
  <si>
    <t>02.357.251/0001-53</t>
  </si>
  <si>
    <t>LIFEMED INDUSTRIAL DE EQUIP. E ART. MEDICOS E HOSP. S.A.</t>
  </si>
  <si>
    <t>LOGG3</t>
  </si>
  <si>
    <t>09.041.168/0001-10</t>
  </si>
  <si>
    <t>LOG COMMERCIAL PROPERTIES E PARTICIPAÇÕES S.A.</t>
  </si>
  <si>
    <t>LOGN3</t>
  </si>
  <si>
    <t>42.278.291/0001-24</t>
  </si>
  <si>
    <t>LOG-IN LOGISTICA INTERMODAL SA</t>
  </si>
  <si>
    <t>LPSB3</t>
  </si>
  <si>
    <t>08.078.847/0001-09</t>
  </si>
  <si>
    <t>LPS BRASIL CONSULTORIA DE IMOVEIS S/A</t>
  </si>
  <si>
    <t>LREN3</t>
  </si>
  <si>
    <t>92.754.738/0001-62</t>
  </si>
  <si>
    <t>LOJAS RENNER SA</t>
  </si>
  <si>
    <t>LTEL3B</t>
  </si>
  <si>
    <t>00.743.065/0001-27</t>
  </si>
  <si>
    <t>LITEL PARTICIPACOES SA</t>
  </si>
  <si>
    <t>LTLA3B</t>
  </si>
  <si>
    <t>05.495.546/0001-84</t>
  </si>
  <si>
    <t>LITELA PARTICIPAÇÕES S.A.</t>
  </si>
  <si>
    <t>LUPA11</t>
  </si>
  <si>
    <t>89.463.822/0001-12</t>
  </si>
  <si>
    <t>LUPATECH S/A – EM RECUPERAÇÃO JUDICIAL</t>
  </si>
  <si>
    <t>LUPA3</t>
  </si>
  <si>
    <t>LUXM3</t>
  </si>
  <si>
    <t>92.660.570/0001-26</t>
  </si>
  <si>
    <t>TREVISA  INVESTIMENTOS SA</t>
  </si>
  <si>
    <t>LUXM4</t>
  </si>
  <si>
    <t>LVBI11</t>
  </si>
  <si>
    <t>30.629.603/0001-18</t>
  </si>
  <si>
    <t>FDO INV IMOB - VBI LOGÍSTICO</t>
  </si>
  <si>
    <t>LWSA3</t>
  </si>
  <si>
    <t>02.351.877/0001-52</t>
  </si>
  <si>
    <t>LOCAWEB SERVIÇOS DE INTERNET S.A.</t>
  </si>
  <si>
    <t>MALL11</t>
  </si>
  <si>
    <t>26.499.833/0001-32</t>
  </si>
  <si>
    <t>Malls Brasil Plural</t>
  </si>
  <si>
    <t>MAPT3</t>
  </si>
  <si>
    <t>93.828.986/0001-73</t>
  </si>
  <si>
    <t>CEMEPE INVESTIMENTOS SA</t>
  </si>
  <si>
    <t>MAPT4</t>
  </si>
  <si>
    <t>MAXR11</t>
  </si>
  <si>
    <t>11.274.415/0001-70</t>
  </si>
  <si>
    <t>Max Retail</t>
  </si>
  <si>
    <t>MBRF11</t>
  </si>
  <si>
    <t>13.500.306/0001-59</t>
  </si>
  <si>
    <t>Mercantil do Brasil</t>
  </si>
  <si>
    <t>MDIA3</t>
  </si>
  <si>
    <t>07.206.816/0001-15</t>
  </si>
  <si>
    <t>M DIAS BRANCO SA IND E COM DE ALIMENTOS</t>
  </si>
  <si>
    <t>MDNE3</t>
  </si>
  <si>
    <t>12.049.631/0001-84</t>
  </si>
  <si>
    <t>MOURA DUBEUX ENGENHARIA S/A</t>
  </si>
  <si>
    <t>MEAL3</t>
  </si>
  <si>
    <t>17.314.329/0001-20</t>
  </si>
  <si>
    <t>INTERNATIONAL MEAL COMPANY ALIMENTAÇÃO S.A.</t>
  </si>
  <si>
    <t>MEND3</t>
  </si>
  <si>
    <t>17.162.082/0001-73</t>
  </si>
  <si>
    <t>MENDES JUNIOR ENGENHARIA SA</t>
  </si>
  <si>
    <t>MEND5</t>
  </si>
  <si>
    <t>MERC3</t>
  </si>
  <si>
    <t>33.040.601/0001-87</t>
  </si>
  <si>
    <t>MERCANTIL DO BR FINC SA CFI</t>
  </si>
  <si>
    <t>MERC4</t>
  </si>
  <si>
    <t>MFII11</t>
  </si>
  <si>
    <t>16.915.968/0001-88</t>
  </si>
  <si>
    <t>Mérito Desenvolvimento Imobiliário</t>
  </si>
  <si>
    <t>MGEL3</t>
  </si>
  <si>
    <t>61.065.298/0001-02</t>
  </si>
  <si>
    <t>MANGELS INDUSTRIAL S.A.</t>
  </si>
  <si>
    <t>MGEL4</t>
  </si>
  <si>
    <t>MGFF11</t>
  </si>
  <si>
    <t>29.216.463/0001-77</t>
  </si>
  <si>
    <t>Mogno Fundo de Fundos</t>
  </si>
  <si>
    <t>47.960.950/0001-21</t>
  </si>
  <si>
    <t>MAGAZINE LUIZA SA</t>
  </si>
  <si>
    <t>MILS3</t>
  </si>
  <si>
    <t>27.093.558/0001-15</t>
  </si>
  <si>
    <t>MILLS ESTRUTURAS E SERVIÇOS DE ENGENHARIA S/A</t>
  </si>
  <si>
    <t>MMAQ3</t>
  </si>
  <si>
    <t>17.161.241/0001-15</t>
  </si>
  <si>
    <t>MINASMAQUINAS SA</t>
  </si>
  <si>
    <t>MMAQ4</t>
  </si>
  <si>
    <t>MMXM11</t>
  </si>
  <si>
    <t>02.762.115/0001-49</t>
  </si>
  <si>
    <t>MMX MINERAÇÃO E METÁLICOS S.A. – EM RECUPERAÇÃO JUDICIAL</t>
  </si>
  <si>
    <t>MMXM3</t>
  </si>
  <si>
    <t>MNDL3</t>
  </si>
  <si>
    <t>88.610.191/0001-54</t>
  </si>
  <si>
    <t>MUNDIAL S.A – PRODUTOS DE CONSUMO</t>
  </si>
  <si>
    <t>MNPR3</t>
  </si>
  <si>
    <t>90.076.886/0001-40</t>
  </si>
  <si>
    <t>MINUPAR PARTICIPACOES SA</t>
  </si>
  <si>
    <t>MNZC3B</t>
  </si>
  <si>
    <t>02.664.042/0001-52</t>
  </si>
  <si>
    <t>TERMINAL GARAGEM MENEZES CORTES SA</t>
  </si>
  <si>
    <t>MOAR3</t>
  </si>
  <si>
    <t>33.102.476/0001-92</t>
  </si>
  <si>
    <t>MONTEIRO ARANHA SA</t>
  </si>
  <si>
    <t>MOVI3</t>
  </si>
  <si>
    <t>21.314.559/0001-66</t>
  </si>
  <si>
    <t>MOVIDA PARTICIPAÇÕES S.A.</t>
  </si>
  <si>
    <t>MRFG3</t>
  </si>
  <si>
    <t>03.853.896/0001-40</t>
  </si>
  <si>
    <t>MARFRIG GLOBAL FOODS SA</t>
  </si>
  <si>
    <t>MRSA3B</t>
  </si>
  <si>
    <t>01.417.222/0001-77</t>
  </si>
  <si>
    <t>MRS LOGÍSTICA S/A</t>
  </si>
  <si>
    <t>MRSA5B</t>
  </si>
  <si>
    <t>MRSA6B</t>
  </si>
  <si>
    <t>MRVE3</t>
  </si>
  <si>
    <t>08.343.492/0001-20</t>
  </si>
  <si>
    <t>MRV ENGENHARIA E PARTICIPAÇÕES S/A</t>
  </si>
  <si>
    <t>MSPA3</t>
  </si>
  <si>
    <t>60.730.330/0001-66</t>
  </si>
  <si>
    <t>COMPANHIA  MELHORAMENTOS DE SÃO PAULO</t>
  </si>
  <si>
    <t>MSPA4</t>
  </si>
  <si>
    <t>MSRO3</t>
  </si>
  <si>
    <t>08.795.211/0001-70</t>
  </si>
  <si>
    <t>MAESTRO LOCADORA DE VEÍCULOS S.A.</t>
  </si>
  <si>
    <t>MTIG3</t>
  </si>
  <si>
    <t>80.227.184/0001-66</t>
  </si>
  <si>
    <t>METALGRAFICA IGUACU SA</t>
  </si>
  <si>
    <t>MTIG4</t>
  </si>
  <si>
    <t>MTRE3</t>
  </si>
  <si>
    <t>07.882.930/0001-65</t>
  </si>
  <si>
    <t>MITRE REALTY EMPREENDIMENTOS E PARTICIPAÇÕES S.A.</t>
  </si>
  <si>
    <t>MTSA3</t>
  </si>
  <si>
    <t>86.375.425/0001-09</t>
  </si>
  <si>
    <t>METISA METALÚRGICA  TIMBOENSE SA</t>
  </si>
  <si>
    <t>MTSA4</t>
  </si>
  <si>
    <t>MULT3</t>
  </si>
  <si>
    <t>07.816.890/0001-53</t>
  </si>
  <si>
    <t>MULTIPLAN EMP. IMOBILIARIOS S/A</t>
  </si>
  <si>
    <t>MWET3</t>
  </si>
  <si>
    <t>84.683.671/0001-94</t>
  </si>
  <si>
    <t>WETZEL S.A. EM RECUPERAÇÃO JUDICIAL</t>
  </si>
  <si>
    <t>MWET4</t>
  </si>
  <si>
    <t>MXRF11</t>
  </si>
  <si>
    <t>97.521.225/0001-25</t>
  </si>
  <si>
    <t>Maxi Renda</t>
  </si>
  <si>
    <t>MYPK3</t>
  </si>
  <si>
    <t>61.156.113/0001-75</t>
  </si>
  <si>
    <t>IOCHPE-MAXION SA</t>
  </si>
  <si>
    <t>NAFG3</t>
  </si>
  <si>
    <t>61.067.161/0001-97</t>
  </si>
  <si>
    <t>NADIR FIGUEIREDO IND E COM SA</t>
  </si>
  <si>
    <t>NAFG4</t>
  </si>
  <si>
    <t>NEMO3</t>
  </si>
  <si>
    <t>60.651.809/0001-05</t>
  </si>
  <si>
    <t>SUZANO HOLDING S.A.</t>
  </si>
  <si>
    <t>NEMO5</t>
  </si>
  <si>
    <t>NEMO6</t>
  </si>
  <si>
    <t>NEOE3</t>
  </si>
  <si>
    <t>01.083.200/0001-18</t>
  </si>
  <si>
    <t>NEOENERGIA S.A</t>
  </si>
  <si>
    <t>NORD3</t>
  </si>
  <si>
    <t>60.884.319/0001-59</t>
  </si>
  <si>
    <t>NORDON INDS METALURGICAS SA</t>
  </si>
  <si>
    <t>NRTQ3</t>
  </si>
  <si>
    <t>29.950.060/0001-57</t>
  </si>
  <si>
    <t>NORTEC QUIMICA S.A.</t>
  </si>
  <si>
    <t>NSLU11</t>
  </si>
  <si>
    <t>08.014.513/0001-63</t>
  </si>
  <si>
    <t>Hospital Nossa Senhora de Lourdes</t>
  </si>
  <si>
    <t>NTCO3</t>
  </si>
  <si>
    <t>32.785.497/0001-97</t>
  </si>
  <si>
    <t>NATURA &amp; CO HOLDING S.A.</t>
  </si>
  <si>
    <t>NUTR3</t>
  </si>
  <si>
    <t>51.128.999/0001-90</t>
  </si>
  <si>
    <t>NUTRIPLANT INDUSTRIA E COMÉRCIO S/A</t>
  </si>
  <si>
    <t>NVHO11</t>
  </si>
  <si>
    <t>17.025.970/0001-44</t>
  </si>
  <si>
    <t>Novo Horizonte</t>
  </si>
  <si>
    <t>ODER3</t>
  </si>
  <si>
    <t>97.191.902/0001-94</t>
  </si>
  <si>
    <t>CONSERVAS ODERICH SA</t>
  </si>
  <si>
    <t>ODER4</t>
  </si>
  <si>
    <t>ODPV3</t>
  </si>
  <si>
    <t>58.119.199/0001-51</t>
  </si>
  <si>
    <t>ODONTOPREV S/A</t>
  </si>
  <si>
    <t>OFSA3</t>
  </si>
  <si>
    <t>20.258.278/0001-70</t>
  </si>
  <si>
    <t>OURO FINO SAÚDE ANIMAL PARTICIPAÇÕES S.A.</t>
  </si>
  <si>
    <t>OIBR3</t>
  </si>
  <si>
    <t>76.535.764/0001-43</t>
  </si>
  <si>
    <t>OI S.A. – EM RECUPERAÇÃO JUDICIAL</t>
  </si>
  <si>
    <t>OIBR4</t>
  </si>
  <si>
    <t>OMGE3</t>
  </si>
  <si>
    <t>09.149.503/0001-06</t>
  </si>
  <si>
    <t>OMEGA GERAÇÃO S.A.</t>
  </si>
  <si>
    <t>ONEF11</t>
  </si>
  <si>
    <t>12.930.291/0001-23</t>
  </si>
  <si>
    <t>The One</t>
  </si>
  <si>
    <t>OPGM3B</t>
  </si>
  <si>
    <t>02.796.775/0001-40</t>
  </si>
  <si>
    <t>GAMA PARTICIPAÇÕES S.A.</t>
  </si>
  <si>
    <t>OPHE3B</t>
  </si>
  <si>
    <t>02.318.346/0001-68</t>
  </si>
  <si>
    <t>OPPORTUNITY ENERGIA E PARTICIPAÇÕES S.A.</t>
  </si>
  <si>
    <t>OPSE3B</t>
  </si>
  <si>
    <t>02.062.747/0001-08</t>
  </si>
  <si>
    <t>SUDESTE SA</t>
  </si>
  <si>
    <t>OPTS3B</t>
  </si>
  <si>
    <t>01.957.772/0001-89</t>
  </si>
  <si>
    <t>SUL 116 PARTICIPAÇÕES S.A.</t>
  </si>
  <si>
    <t>OSXB3</t>
  </si>
  <si>
    <t>09.112.685/0001-32</t>
  </si>
  <si>
    <t>OSX BRASIL S.A. – EM RECUPERAÇÃO JUDICIAL</t>
  </si>
  <si>
    <t>OUJP11</t>
  </si>
  <si>
    <t>26.091.656/0001-50</t>
  </si>
  <si>
    <t>OURINVEST JPP</t>
  </si>
  <si>
    <t>PABY11</t>
  </si>
  <si>
    <t>00.613.094/0001-74</t>
  </si>
  <si>
    <t>Panamby</t>
  </si>
  <si>
    <t>PARD3</t>
  </si>
  <si>
    <t>19.378.769/0001-76</t>
  </si>
  <si>
    <t>INSTITUTO HERMES PARDINI S/A</t>
  </si>
  <si>
    <t>PATI3</t>
  </si>
  <si>
    <t>92.693.019/0001-89</t>
  </si>
  <si>
    <t>PANATLANTICA SA</t>
  </si>
  <si>
    <t>PATI4</t>
  </si>
  <si>
    <t>PCAR3</t>
  </si>
  <si>
    <t>47.508.411/0001-56</t>
  </si>
  <si>
    <t>COMPANHIA BRASILEIRA DE DISTRIBUIÇÃO</t>
  </si>
  <si>
    <t>PCAR4</t>
  </si>
  <si>
    <t>PDGR3</t>
  </si>
  <si>
    <t>02.950.811/0001-89</t>
  </si>
  <si>
    <t>PDG REALTY SA EMPREENDIMENTOS E PARTS – EM RECUPERAÇÃO JUDICIAL</t>
  </si>
  <si>
    <t>PDGS-CRI15B0</t>
  </si>
  <si>
    <t>09.538.973/0001-53</t>
  </si>
  <si>
    <t>PDG COMPANHIA SECURITIZADORA – EM RECUPERAÇÃO JUDICIAL</t>
  </si>
  <si>
    <t>PEAB3</t>
  </si>
  <si>
    <t>01.938.783/0001-11</t>
  </si>
  <si>
    <t>CIA DE PARTICIPAÇÕES ALIANÇA DA BAHIA</t>
  </si>
  <si>
    <t>PEAB4</t>
  </si>
  <si>
    <t>PETR3</t>
  </si>
  <si>
    <t>33.000.167/0001-01</t>
  </si>
  <si>
    <t>PETRÓLEO BRASILEIRO  S.A.  – PETROBRAS</t>
  </si>
  <si>
    <t>PETZ3</t>
  </si>
  <si>
    <t>18.328.118/0001-09</t>
  </si>
  <si>
    <t>PET CENTER COMERCIO E PARTICIPACOES S.A.</t>
  </si>
  <si>
    <t>PFRM3</t>
  </si>
  <si>
    <t>45.453.214/0001-51</t>
  </si>
  <si>
    <t>PROFARMA DISTRIB. PRODUTOS FARMACEUTICOS</t>
  </si>
  <si>
    <t>PINE3</t>
  </si>
  <si>
    <t>62.144.175/0001-20</t>
  </si>
  <si>
    <t>BANCO PINE S/A</t>
  </si>
  <si>
    <t>PINE4</t>
  </si>
  <si>
    <t>PLAS11</t>
  </si>
  <si>
    <t>51.928.174/0001-50</t>
  </si>
  <si>
    <t>PLASCAR PARTICIPAÇÕES INDUSTRIAIS S.A</t>
  </si>
  <si>
    <t>PLAS3</t>
  </si>
  <si>
    <t>PLRI11</t>
  </si>
  <si>
    <t>Polo Fundo de Recebíveis</t>
  </si>
  <si>
    <t>PLSC-CRI1CB0</t>
  </si>
  <si>
    <t>12.261.588/0001-16</t>
  </si>
  <si>
    <t>POLO CAPITAL SECURITIZADORA S/A</t>
  </si>
  <si>
    <t>PMAM3</t>
  </si>
  <si>
    <t>60.398.369/0004-79</t>
  </si>
  <si>
    <t>PARANAPANEMA SA</t>
  </si>
  <si>
    <t>PNVL3</t>
  </si>
  <si>
    <t>92.665.611/0001-77</t>
  </si>
  <si>
    <t>DIMED SA DISTRIBUIDORA DE MEDICAMENTOS</t>
  </si>
  <si>
    <t>PNVL4</t>
  </si>
  <si>
    <t>POMO3</t>
  </si>
  <si>
    <t>88.611.835/0001-29</t>
  </si>
  <si>
    <t>MARCOPOLO SA</t>
  </si>
  <si>
    <t>POMO4</t>
  </si>
  <si>
    <t>POSI3</t>
  </si>
  <si>
    <t>81.243.735/0001-30</t>
  </si>
  <si>
    <t>POSITIVO TECNOLOGIA S.A.</t>
  </si>
  <si>
    <t>PPAR3</t>
  </si>
  <si>
    <t>59.789.545/0001-71</t>
  </si>
  <si>
    <t>POLPAR S.A.</t>
  </si>
  <si>
    <t>PQDP11</t>
  </si>
  <si>
    <t>10.869.155/0001-12</t>
  </si>
  <si>
    <t>Parque Dom Pedro Shopping Center</t>
  </si>
  <si>
    <t>PRIO3</t>
  </si>
  <si>
    <t>10.629.105/0001-68</t>
  </si>
  <si>
    <t>PETRO RIO S.A.</t>
  </si>
  <si>
    <t>PRMN3B</t>
  </si>
  <si>
    <t>02.291.077/0001-93</t>
  </si>
  <si>
    <t>PRODUTORES ENERGETICOS DE MANSO SA</t>
  </si>
  <si>
    <t>PRNR3</t>
  </si>
  <si>
    <t>18.593.815/0001-97</t>
  </si>
  <si>
    <t>PRINER SERVIÇOS INDUSTRIAIS S.A.</t>
  </si>
  <si>
    <t>PRPT3B</t>
  </si>
  <si>
    <t>02.992.449/0001-09</t>
  </si>
  <si>
    <t>PROMPT PARTICIPAÇÕES S.A.</t>
  </si>
  <si>
    <t>PRSV11</t>
  </si>
  <si>
    <t>11.281.322/0001-72</t>
  </si>
  <si>
    <t>Presidente Vargas</t>
  </si>
  <si>
    <t>PSSA3</t>
  </si>
  <si>
    <t>02.149.205/0001-69</t>
  </si>
  <si>
    <t>PORTO SEGURO SA</t>
  </si>
  <si>
    <t>PSVM11</t>
  </si>
  <si>
    <t>18.494.305/0001-82</t>
  </si>
  <si>
    <t>PORTO SUDESTE V.M. S.A.</t>
  </si>
  <si>
    <t>PTBL3</t>
  </si>
  <si>
    <t>83.475.913/0001-91</t>
  </si>
  <si>
    <t>PBG S/A</t>
  </si>
  <si>
    <t>PTCA11</t>
  </si>
  <si>
    <t>08.574.411/0001-00</t>
  </si>
  <si>
    <t>PRÁTICA KLIMAQUIP INDÚSTRIA E COMÉRCIO S.A.</t>
  </si>
  <si>
    <t>PTCA3</t>
  </si>
  <si>
    <t>PTNT3</t>
  </si>
  <si>
    <t>88.613.658/0001-10</t>
  </si>
  <si>
    <t>PETTENATI SA IND TEXTIL</t>
  </si>
  <si>
    <t>PTNT4</t>
  </si>
  <si>
    <t>QUAL3</t>
  </si>
  <si>
    <t>11.992.680/0001-93</t>
  </si>
  <si>
    <t>QUALICORP SA</t>
  </si>
  <si>
    <t>QUSW3</t>
  </si>
  <si>
    <t>35.791.391/0001-94</t>
  </si>
  <si>
    <t>QUALITY SOFTWARE S.A.</t>
  </si>
  <si>
    <t>QVQP3B</t>
  </si>
  <si>
    <t>01.851.771/0001-55</t>
  </si>
  <si>
    <t>524 PARTICIPAÇOES SA</t>
  </si>
  <si>
    <t>RADL3</t>
  </si>
  <si>
    <t>61.585.865/0001-51</t>
  </si>
  <si>
    <t>RAIA DROGASIL S.A.</t>
  </si>
  <si>
    <t>RAIL3</t>
  </si>
  <si>
    <t>02.387.241/0001-60</t>
  </si>
  <si>
    <t>RUMO S.A.</t>
  </si>
  <si>
    <t>RANI3</t>
  </si>
  <si>
    <t>92.791.243/0001-03</t>
  </si>
  <si>
    <t>CELULOSE IRANI SA</t>
  </si>
  <si>
    <t>RANI4</t>
  </si>
  <si>
    <t>RAPT3</t>
  </si>
  <si>
    <t>89.086.144/0001-16</t>
  </si>
  <si>
    <t>RANDON S.A. IMPLEMENTOS E PARTICIPAÇÕES</t>
  </si>
  <si>
    <t>RAPT4</t>
  </si>
  <si>
    <t>RBBV11</t>
  </si>
  <si>
    <t>16.915.868/0001-51</t>
  </si>
  <si>
    <t>JHSF Rio Bravo Fazenda Boa Vista Capital Protegido</t>
  </si>
  <si>
    <t>RBED11</t>
  </si>
  <si>
    <t>13.873.457/0001-52</t>
  </si>
  <si>
    <t>RIOB ED</t>
  </si>
  <si>
    <t>RBGS11</t>
  </si>
  <si>
    <t>13.652.006/0001-95</t>
  </si>
  <si>
    <t>RB Capital General Shopping Sulacap</t>
  </si>
  <si>
    <t>RBRD11</t>
  </si>
  <si>
    <t>09.006.914/0001-34</t>
  </si>
  <si>
    <t>RB Capital Renda II</t>
  </si>
  <si>
    <t>RBRF11</t>
  </si>
  <si>
    <t>27.529.279/0001-51</t>
  </si>
  <si>
    <t>RBR Alpha Fundo de Fundos</t>
  </si>
  <si>
    <t>RBRP11</t>
  </si>
  <si>
    <t>21.408.063/0001-51</t>
  </si>
  <si>
    <t>RBR Properties</t>
  </si>
  <si>
    <t>RBRR11</t>
  </si>
  <si>
    <t>29.467.977/0001-03</t>
  </si>
  <si>
    <t>RBR Rendimento High Grade</t>
  </si>
  <si>
    <t>RBTS11</t>
  </si>
  <si>
    <t>29.299.737/0001-39</t>
  </si>
  <si>
    <t>RB Capital TFO Situs</t>
  </si>
  <si>
    <t>RBVA11</t>
  </si>
  <si>
    <t>15.576.907/0001-70</t>
  </si>
  <si>
    <t>RIOB VA</t>
  </si>
  <si>
    <t>RBVO11</t>
  </si>
  <si>
    <t>15.769.670/0001-44</t>
  </si>
  <si>
    <t>Rio Bravo Crédito Imobiliário II</t>
  </si>
  <si>
    <t>RCRI11</t>
  </si>
  <si>
    <t>26.511.274/0001-39</t>
  </si>
  <si>
    <t>RB Capital Rendimentos Imobiliários</t>
  </si>
  <si>
    <t>RCSL3</t>
  </si>
  <si>
    <t>91.333.666/0001-17</t>
  </si>
  <si>
    <t>RECRUSUL SA</t>
  </si>
  <si>
    <t>RCSL4</t>
  </si>
  <si>
    <t>RDES11</t>
  </si>
  <si>
    <t>14.793.782/0001-78</t>
  </si>
  <si>
    <t>Renda de Escritórios</t>
  </si>
  <si>
    <t>RDNI3</t>
  </si>
  <si>
    <t>67.010.660/0001-24</t>
  </si>
  <si>
    <t>RNI NEGÓCIOS IMOBILIÁRIOS S.A.</t>
  </si>
  <si>
    <t>RDPD11</t>
  </si>
  <si>
    <t>23.120.027/0001-13</t>
  </si>
  <si>
    <t>BB Renda de Papéis Imobiliários II</t>
  </si>
  <si>
    <t>REDE3</t>
  </si>
  <si>
    <t>61.584.140/0001-49</t>
  </si>
  <si>
    <t>REDE ENERGIA PARTICIPAÇÕES S.A.</t>
  </si>
  <si>
    <t>RENT3</t>
  </si>
  <si>
    <t>16.670.085/0001-55</t>
  </si>
  <si>
    <t>LOCALIZA RENT A CAR SA</t>
  </si>
  <si>
    <t>RLOG3</t>
  </si>
  <si>
    <t>17.346.997/0001-39</t>
  </si>
  <si>
    <t>COSAN LOGÍSTICA S.A.</t>
  </si>
  <si>
    <t>RNDP11</t>
  </si>
  <si>
    <t>15.394.563/0001-89</t>
  </si>
  <si>
    <t>BB Renda de Papéis Imobiliários</t>
  </si>
  <si>
    <t>RNEW11</t>
  </si>
  <si>
    <t>08.534.605/0001-74</t>
  </si>
  <si>
    <t>RENOVA ENERGIA S/A</t>
  </si>
  <si>
    <t>RNEW3</t>
  </si>
  <si>
    <t>RNEW4</t>
  </si>
  <si>
    <t>RNGO11</t>
  </si>
  <si>
    <t>15.006.286/0001-90</t>
  </si>
  <si>
    <t>Rio Negro</t>
  </si>
  <si>
    <t>ROMI3</t>
  </si>
  <si>
    <t>56.720.428/0001-63</t>
  </si>
  <si>
    <t>INDÚSTRIAS ROMI S.A.</t>
  </si>
  <si>
    <t>RPAD3</t>
  </si>
  <si>
    <t>17.167.396/0001-69</t>
  </si>
  <si>
    <t>ALFA HOLDINGS SA</t>
  </si>
  <si>
    <t>RPAD5</t>
  </si>
  <si>
    <t>RPAD6</t>
  </si>
  <si>
    <t>RPMG3</t>
  </si>
  <si>
    <t>33.412.081/0001-96</t>
  </si>
  <si>
    <t>REFINARIA PET MANGUINHOS SA</t>
  </si>
  <si>
    <t>RRRP3</t>
  </si>
  <si>
    <t>12.091.809/0001-55</t>
  </si>
  <si>
    <t>3R PETROLEUM ÓLEO E GÁS S.A</t>
  </si>
  <si>
    <t>RSID3</t>
  </si>
  <si>
    <t>61.065.751/0001-80</t>
  </si>
  <si>
    <t>ROSSI RESIDENCIAL SA</t>
  </si>
  <si>
    <t>RSUL3</t>
  </si>
  <si>
    <t>85.778.074/0001-06</t>
  </si>
  <si>
    <t>METALURGICA RIOSULENSE SA</t>
  </si>
  <si>
    <t>RSUL4</t>
  </si>
  <si>
    <t>SAAG11</t>
  </si>
  <si>
    <t>16.915.840/0001-14</t>
  </si>
  <si>
    <t>Santander Agências</t>
  </si>
  <si>
    <t>SANB11</t>
  </si>
  <si>
    <t>90.400.888/0001-42</t>
  </si>
  <si>
    <t>BANCO SANTANDER (BRASIL) S.A.</t>
  </si>
  <si>
    <t>SANB3</t>
  </si>
  <si>
    <t>SANB4</t>
  </si>
  <si>
    <t>76.304.013/0001-45</t>
  </si>
  <si>
    <t>CIA. DE SANEAMENTO DO PARANÁ – SANEPAR</t>
  </si>
  <si>
    <t>SAPR3</t>
  </si>
  <si>
    <t>SAPR4</t>
  </si>
  <si>
    <t>SBSP3</t>
  </si>
  <si>
    <t>43.776.517/0001-80</t>
  </si>
  <si>
    <t>CIA SANEAMENTO BÁSICO ESTADO SÃO PAULO</t>
  </si>
  <si>
    <t>SCAR3</t>
  </si>
  <si>
    <t>29.780.061/0001-09</t>
  </si>
  <si>
    <t>SÃO CARLOS EMPREENDS E PARTICIPAÇÕES S.A</t>
  </si>
  <si>
    <t>SCPF11</t>
  </si>
  <si>
    <t>01.657.856/0001-05</t>
  </si>
  <si>
    <t>SCP</t>
  </si>
  <si>
    <t>SDIL11</t>
  </si>
  <si>
    <t>16.671.412/0001-93</t>
  </si>
  <si>
    <t>SDI Logística Rio</t>
  </si>
  <si>
    <t>SEER3</t>
  </si>
  <si>
    <t>04.986.320/0001-13</t>
  </si>
  <si>
    <t>SER EDUCACIONAL S.A.</t>
  </si>
  <si>
    <t>SFND11</t>
  </si>
  <si>
    <t>09.350.920/0001-04</t>
  </si>
  <si>
    <t>São Fernando</t>
  </si>
  <si>
    <t>SGPS3</t>
  </si>
  <si>
    <t>07.718.269/0001-57</t>
  </si>
  <si>
    <t>SPRINGS GLOBAL PARTICIPAÇÕES S/A</t>
  </si>
  <si>
    <t>SHDP11B</t>
  </si>
  <si>
    <t>07.224.019/0001-60</t>
  </si>
  <si>
    <t>Shopping Parque Dom Pedro</t>
  </si>
  <si>
    <t>SHOW3</t>
  </si>
  <si>
    <t>02.860.694/0001-62</t>
  </si>
  <si>
    <t>T4F ENTRETENIMENTO SA</t>
  </si>
  <si>
    <t>SHPH11</t>
  </si>
  <si>
    <t>03.507.519/0001-59</t>
  </si>
  <si>
    <t>Shopping Patio Higienopolis</t>
  </si>
  <si>
    <t>SHUL3</t>
  </si>
  <si>
    <t>84.693.183/0001-68</t>
  </si>
  <si>
    <t>SCHULZ SA</t>
  </si>
  <si>
    <t>SHUL4</t>
  </si>
  <si>
    <t>SLCE3</t>
  </si>
  <si>
    <t>89.096.457/0001-55</t>
  </si>
  <si>
    <t>SLC AGRICOLA SA</t>
  </si>
  <si>
    <t>SLCT3B</t>
  </si>
  <si>
    <t>02.604.860/0001-60</t>
  </si>
  <si>
    <t>INNCORP S.A.</t>
  </si>
  <si>
    <t>SLED11</t>
  </si>
  <si>
    <t>60.500.139/0001-26</t>
  </si>
  <si>
    <t>SARAIVA SA LIVREIROS EDITORES</t>
  </si>
  <si>
    <t>SLED3</t>
  </si>
  <si>
    <t>SLED4</t>
  </si>
  <si>
    <t>BOVA11</t>
  </si>
  <si>
    <t>ISHARES IBOVESPA FUNDO DE ÍNDICE (BOVA11 )</t>
  </si>
  <si>
    <t>SMFT3</t>
  </si>
  <si>
    <t>07.594.978/0001-78</t>
  </si>
  <si>
    <t>SMARTFIT ESCOLA DE GINÁSTICA E DANÇA S.A.</t>
  </si>
  <si>
    <t>SMLS3</t>
  </si>
  <si>
    <t>05.730.375/0001-20</t>
  </si>
  <si>
    <t>SMILES FIDELIDADE S.A.</t>
  </si>
  <si>
    <t>SMTO3</t>
  </si>
  <si>
    <t>51.466.860/0001-56</t>
  </si>
  <si>
    <t>SÃO MARTINHO SA</t>
  </si>
  <si>
    <t>SNSY3</t>
  </si>
  <si>
    <t>14.807.945/0001-24</t>
  </si>
  <si>
    <t>SANSUY SA INDÚSTRIA  DE PLASTICOS</t>
  </si>
  <si>
    <t>SNSY5</t>
  </si>
  <si>
    <t>SNSY6</t>
  </si>
  <si>
    <t>SOMA3</t>
  </si>
  <si>
    <t>10.285.590/0001-08</t>
  </si>
  <si>
    <t>GRUPO DE MODA SOMA S.A.</t>
  </si>
  <si>
    <t>SOND3</t>
  </si>
  <si>
    <t>33.386.210/0001-19</t>
  </si>
  <si>
    <t>SONDOTECNICA ENGENHARIA DE SOLOS S/A.</t>
  </si>
  <si>
    <t>SOND5</t>
  </si>
  <si>
    <t>SOND6</t>
  </si>
  <si>
    <t>SPRI3</t>
  </si>
  <si>
    <t>92.929.520/0001-00</t>
  </si>
  <si>
    <t>SPRINGER SA</t>
  </si>
  <si>
    <t>SPRI5</t>
  </si>
  <si>
    <t>SPRI6</t>
  </si>
  <si>
    <t>SPTW11</t>
  </si>
  <si>
    <t>15.538.445/0001-05</t>
  </si>
  <si>
    <t>SP Downtown</t>
  </si>
  <si>
    <t>SQIA3</t>
  </si>
  <si>
    <t>04.065.791/0001-99</t>
  </si>
  <si>
    <t>SINQIA S.A.</t>
  </si>
  <si>
    <t>STBP3</t>
  </si>
  <si>
    <t>02.762.121/0001-04</t>
  </si>
  <si>
    <t>SANTOS BRASIL PARTICIPAÇÕES S.A.</t>
  </si>
  <si>
    <t>STKF3</t>
  </si>
  <si>
    <t>00.622.416/0001-41</t>
  </si>
  <si>
    <t>STATKRAFT ENERGIAS RENOVÁVEIS S.A.</t>
  </si>
  <si>
    <t>STTR3</t>
  </si>
  <si>
    <t>91.495.499/0001-00</t>
  </si>
  <si>
    <t>STARA S.A. – INDÚSTRIA DE IMPLEMENTOS AGRÍCOLAS</t>
  </si>
  <si>
    <t>SULA11</t>
  </si>
  <si>
    <t>29.978.814/0001-87</t>
  </si>
  <si>
    <t>SUL AMERICA S/A</t>
  </si>
  <si>
    <t>SULA3</t>
  </si>
  <si>
    <t>SULA4</t>
  </si>
  <si>
    <t>SUZB3</t>
  </si>
  <si>
    <t>16.404.287/0001-55</t>
  </si>
  <si>
    <t>SUZANO S.A.</t>
  </si>
  <si>
    <t>TAEE11</t>
  </si>
  <si>
    <t>07.859.971/0001-30</t>
  </si>
  <si>
    <t>TRANSMISSORA ALIANÇA DE ENERGIA ELÉTRICA S.A.</t>
  </si>
  <si>
    <t>TAEE3</t>
  </si>
  <si>
    <t>TAEE4</t>
  </si>
  <si>
    <t>TASA13</t>
  </si>
  <si>
    <t>92.781.335/0001-02</t>
  </si>
  <si>
    <t>TAURUS ARMAS S.A.</t>
  </si>
  <si>
    <t>TASA15</t>
  </si>
  <si>
    <t>TASA17</t>
  </si>
  <si>
    <t>TASA3</t>
  </si>
  <si>
    <t>TASA4</t>
  </si>
  <si>
    <t>TBOF11</t>
  </si>
  <si>
    <t>17.365.105/0001-47</t>
  </si>
  <si>
    <t>TB Office</t>
  </si>
  <si>
    <t>TCNO3</t>
  </si>
  <si>
    <t>33.111.246/0001-90</t>
  </si>
  <si>
    <t>TECNOSOLO S/A – EM RECUPERAÇÃO JUDICIAL</t>
  </si>
  <si>
    <t>TCNO4</t>
  </si>
  <si>
    <t>TCSA3</t>
  </si>
  <si>
    <t>08.065.557/0001-12</t>
  </si>
  <si>
    <t>TECNISA S/A</t>
  </si>
  <si>
    <t>TECN3</t>
  </si>
  <si>
    <t>09.295.063/0001-97</t>
  </si>
  <si>
    <t>TECHNOS SA</t>
  </si>
  <si>
    <t>TEKA3</t>
  </si>
  <si>
    <t>82.636.986/0001-55</t>
  </si>
  <si>
    <t>TEKA TECELAGEM KUEHNRICH SA – EM RECUPERAÇÃO JUDICIAL</t>
  </si>
  <si>
    <t>TEKA4</t>
  </si>
  <si>
    <t>TELB3</t>
  </si>
  <si>
    <t>00.336.701/0001-04</t>
  </si>
  <si>
    <t>TELEC. BRASILEIRAS S.A. – TELEBRÁS</t>
  </si>
  <si>
    <t>TELB4</t>
  </si>
  <si>
    <t>TEND3</t>
  </si>
  <si>
    <t>71.476.527/0001-35</t>
  </si>
  <si>
    <t>CONSTRUTORA TENDA S/A</t>
  </si>
  <si>
    <t>TESA12</t>
  </si>
  <si>
    <t>05.799.312/0001-20</t>
  </si>
  <si>
    <t>TERRA SANTA AGRO S.A.</t>
  </si>
  <si>
    <t>TESA3</t>
  </si>
  <si>
    <t>TGAR11B</t>
  </si>
  <si>
    <t>25.032.881/0001-53</t>
  </si>
  <si>
    <t>TG Ativo Real</t>
  </si>
  <si>
    <t>TGMA3</t>
  </si>
  <si>
    <t>02.351.144/0001-18</t>
  </si>
  <si>
    <t>TEGMA GESTÃO LOGÍSTICA SA</t>
  </si>
  <si>
    <t>THRA11</t>
  </si>
  <si>
    <t>13.966.653/0001-71</t>
  </si>
  <si>
    <t>Cyrela Thera Corporate</t>
  </si>
  <si>
    <t>TIET11</t>
  </si>
  <si>
    <t>04.128.563/0001-10</t>
  </si>
  <si>
    <t>AES TIETÊ ENERGIA S.A</t>
  </si>
  <si>
    <t>TIET3</t>
  </si>
  <si>
    <t>TIET4</t>
  </si>
  <si>
    <t>TIMP3</t>
  </si>
  <si>
    <t>02.558.115/0001-21</t>
  </si>
  <si>
    <t>TIM PARTICIPAÇÕES SA</t>
  </si>
  <si>
    <t>TKNO3</t>
  </si>
  <si>
    <t>33.467.572/0001-34</t>
  </si>
  <si>
    <t>TEKNO S.A. INDÚSTRIA E COMÉRCIO</t>
  </si>
  <si>
    <t>TKNO4</t>
  </si>
  <si>
    <t>TOTS3</t>
  </si>
  <si>
    <t>53.113.791/0001-22</t>
  </si>
  <si>
    <t>TOTVS S.A</t>
  </si>
  <si>
    <t>TPIS3</t>
  </si>
  <si>
    <t>03.014.553/0001-91</t>
  </si>
  <si>
    <t>TPI – TRIUNFO PARTICIPACOES E INVESTIMENTOS S.A.</t>
  </si>
  <si>
    <t>TRIS3</t>
  </si>
  <si>
    <t>08.811.643/0001-27</t>
  </si>
  <si>
    <t>TRISUL S/A</t>
  </si>
  <si>
    <t>TRNT11</t>
  </si>
  <si>
    <t>04.722.883/0001-02</t>
  </si>
  <si>
    <t>Torre Norte</t>
  </si>
  <si>
    <t>TRPL3</t>
  </si>
  <si>
    <t>02.998.611/0001-04</t>
  </si>
  <si>
    <t>CTEEP-CIA TRANSM ENERGIA ELÉTR. PAULISTA</t>
  </si>
  <si>
    <t>TRPL4</t>
  </si>
  <si>
    <t>TRXL11</t>
  </si>
  <si>
    <t>11.839.593/0001-09</t>
  </si>
  <si>
    <t>TRX Realty Logística Renda I</t>
  </si>
  <si>
    <t>TSNC11</t>
  </si>
  <si>
    <t>17.007.443/0001-07</t>
  </si>
  <si>
    <t>Transinc</t>
  </si>
  <si>
    <t>TUPY3</t>
  </si>
  <si>
    <t>84.683.374/0001-49</t>
  </si>
  <si>
    <t>TUPY SA</t>
  </si>
  <si>
    <t>TXRX3</t>
  </si>
  <si>
    <t>82.982.075/0001-80</t>
  </si>
  <si>
    <t>TÊXTIL RENAUXVIEW S/A</t>
  </si>
  <si>
    <t>UBSR11</t>
  </si>
  <si>
    <t>28.152.272/0001-26</t>
  </si>
  <si>
    <t>UBS (BR) Recebíveis Imobiliários</t>
  </si>
  <si>
    <t>UCAS3</t>
  </si>
  <si>
    <t>90.441.460/0001-30</t>
  </si>
  <si>
    <t>UNICASA INDÚSTRIA DE MÓVEIS S.A.</t>
  </si>
  <si>
    <t>UGPA3</t>
  </si>
  <si>
    <t>33.256.439/0001-39</t>
  </si>
  <si>
    <t>ULTRAPAR PARTICIPAÇÕES SA</t>
  </si>
  <si>
    <t>UNIP3</t>
  </si>
  <si>
    <t>33.958.695/0001-78</t>
  </si>
  <si>
    <t>UNIPAR CARBOCLORO S.A.</t>
  </si>
  <si>
    <t>UNIP5</t>
  </si>
  <si>
    <t>UNIP6</t>
  </si>
  <si>
    <t>UPKP3B</t>
  </si>
  <si>
    <t>02.162.616/0001-94</t>
  </si>
  <si>
    <t>UPTICK PARTICIPACOES SA</t>
  </si>
  <si>
    <t>USIM3</t>
  </si>
  <si>
    <t>60.894.730/0001-05</t>
  </si>
  <si>
    <t>USINAS SIDERURGICAS DE MINAS GERAIS SA</t>
  </si>
  <si>
    <t>USIM5</t>
  </si>
  <si>
    <t>USIM6</t>
  </si>
  <si>
    <t>VALE3</t>
  </si>
  <si>
    <t>33.592.510/0001-54</t>
  </si>
  <si>
    <t>VALE S.A.</t>
  </si>
  <si>
    <t>VERE11</t>
  </si>
  <si>
    <t>08.693.497/0001-82</t>
  </si>
  <si>
    <t>Vereda</t>
  </si>
  <si>
    <t>VGIR11</t>
  </si>
  <si>
    <t>29.852.732/0001-91</t>
  </si>
  <si>
    <t>Valora RE III</t>
  </si>
  <si>
    <t>VILG11</t>
  </si>
  <si>
    <t>24.853.044/0001-22</t>
  </si>
  <si>
    <t>Vinci Logística</t>
  </si>
  <si>
    <t>VISC11</t>
  </si>
  <si>
    <t>17.554.274/0001-25</t>
  </si>
  <si>
    <t>Vinci Shopping Centers</t>
  </si>
  <si>
    <t>VIVA3</t>
  </si>
  <si>
    <t>33.839.910/0001-11</t>
  </si>
  <si>
    <t>VIVARA PARTICIPAÇÕES S.A.</t>
  </si>
  <si>
    <t>VIVR3</t>
  </si>
  <si>
    <t>67.571.414/0001-41</t>
  </si>
  <si>
    <t>VIVER INCORP. E CONSTRUTORA S.A.- EM RECUPERAÇÃO JUDICIAL</t>
  </si>
  <si>
    <t>VIVT3</t>
  </si>
  <si>
    <t>02.558.157/0001-62</t>
  </si>
  <si>
    <t>TELEFÔNICA BRASIL S.A.</t>
  </si>
  <si>
    <t>VIVT4</t>
  </si>
  <si>
    <t>VLID3</t>
  </si>
  <si>
    <t>33.113.309/0001-47</t>
  </si>
  <si>
    <t>VALID SOLUÇÕES E SERVIÇOS DE SEGURANÇA EM MEIOS DE PAGAMENTO E IDENTIFICAÇÃO S.A.</t>
  </si>
  <si>
    <t>VLOL11</t>
  </si>
  <si>
    <t>15.296.696/0001-12</t>
  </si>
  <si>
    <t>Vila Olímpia Corporate</t>
  </si>
  <si>
    <t>VRTA11</t>
  </si>
  <si>
    <t>11.664.201/0001-00</t>
  </si>
  <si>
    <t>Fator Verita</t>
  </si>
  <si>
    <t>VSPT3</t>
  </si>
  <si>
    <t>00.924.429/0001-75</t>
  </si>
  <si>
    <t>FERROVIA CENTRO ATLANTICA SA</t>
  </si>
  <si>
    <t>VSPT4</t>
  </si>
  <si>
    <t>VTLT11</t>
  </si>
  <si>
    <t>27.368.600/0001-63</t>
  </si>
  <si>
    <t>Votorantim Logística</t>
  </si>
  <si>
    <t>VULC3</t>
  </si>
  <si>
    <t>50.926.955/0001-42</t>
  </si>
  <si>
    <t>VULCABRAS|AZALEIA S.A.</t>
  </si>
  <si>
    <t>VVAR3</t>
  </si>
  <si>
    <t>33.041.260/0652-90</t>
  </si>
  <si>
    <t>VIA VAREJO S.A.</t>
  </si>
  <si>
    <t>WEGE3</t>
  </si>
  <si>
    <t>84.429.695/0001-11</t>
  </si>
  <si>
    <t>WEG SA</t>
  </si>
  <si>
    <t>WHRL3</t>
  </si>
  <si>
    <t>59.105.999/0001-86</t>
  </si>
  <si>
    <t>WHIRLPOOL S.A</t>
  </si>
  <si>
    <t>WHRL4</t>
  </si>
  <si>
    <t>WIZS3</t>
  </si>
  <si>
    <t>42.278.473/0001-03</t>
  </si>
  <si>
    <t>WIZ SOLUÇÕES E CORRETAGEM DE SEGUROS S.A.</t>
  </si>
  <si>
    <t>WLMM3</t>
  </si>
  <si>
    <t>33.228.024/0001-51</t>
  </si>
  <si>
    <t>WLM INDÚSTRIA E COMÉRCIO S.A.</t>
  </si>
  <si>
    <t>WLMM4</t>
  </si>
  <si>
    <t>WPLZ11B</t>
  </si>
  <si>
    <t>09.326.861/0001-39</t>
  </si>
  <si>
    <t>Shopping West Plaza</t>
  </si>
  <si>
    <t>WTSP11B</t>
  </si>
  <si>
    <t>28.693.595/0001-27</t>
  </si>
  <si>
    <t>Ourinvest RE I</t>
  </si>
  <si>
    <t>WTVR-CRI11B0</t>
  </si>
  <si>
    <t>06.137.677/0001-52</t>
  </si>
  <si>
    <t>BRPR 56 SECURITZADORA CRED IMOB SA</t>
  </si>
  <si>
    <t>XPCM11</t>
  </si>
  <si>
    <t>16.802.320/0001-03</t>
  </si>
  <si>
    <t>XP Corporate Macaé</t>
  </si>
  <si>
    <t>XPIN11</t>
  </si>
  <si>
    <t>28.516.325/0001-40</t>
  </si>
  <si>
    <t>XP Industrial</t>
  </si>
  <si>
    <t>XPLG11</t>
  </si>
  <si>
    <t>26.502.794/0001-85</t>
  </si>
  <si>
    <t>XP LOG FDO INV IMOB - FII</t>
  </si>
  <si>
    <t>XPML11</t>
  </si>
  <si>
    <t>28.757.546/0001-00</t>
  </si>
  <si>
    <t>XP Malls FII</t>
  </si>
  <si>
    <t>XPPR11</t>
  </si>
  <si>
    <t>30.654.849/0001-40</t>
  </si>
  <si>
    <t>XP PROPERTIES FDO. INV. IMOB.</t>
  </si>
  <si>
    <t>XTED11</t>
  </si>
  <si>
    <t>15.006.267/0001-63</t>
  </si>
  <si>
    <t>TRX Edifícios Corporativos</t>
  </si>
  <si>
    <t>08.807.432/0001-10</t>
  </si>
  <si>
    <t>ESTACIO PARTICIPAÇÕES SA</t>
  </si>
  <si>
    <t>14.110.585/0001-07</t>
  </si>
  <si>
    <t>MÉLIUZ S.A.</t>
  </si>
  <si>
    <t>MICROSOFT CORPORATION</t>
  </si>
  <si>
    <t>AAPL34</t>
  </si>
  <si>
    <t>APPLE INC.</t>
  </si>
  <si>
    <t>MOSI3</t>
  </si>
  <si>
    <t>09.083.175/0001-84</t>
  </si>
  <si>
    <t>Mosaico Tecnologia ao Consumidor S.A.</t>
  </si>
  <si>
    <t>Corretora 1</t>
  </si>
  <si>
    <t>Corretora 3</t>
  </si>
  <si>
    <t>Corretora 2</t>
  </si>
  <si>
    <t>DCBA S.A.</t>
  </si>
  <si>
    <t>87.654.321/0001-00</t>
  </si>
  <si>
    <t>Código</t>
  </si>
  <si>
    <t>Discriminação</t>
  </si>
  <si>
    <t>37.663.076/0001-07</t>
  </si>
  <si>
    <t>AES BRASIL ENERGIA S.A.</t>
  </si>
  <si>
    <t>D. Quantidade</t>
  </si>
  <si>
    <t>D. Razão Social</t>
  </si>
  <si>
    <t>D. Custo Médio</t>
  </si>
  <si>
    <t>D. Ticker</t>
  </si>
  <si>
    <t>D. Corretora</t>
  </si>
  <si>
    <t>D. Corretora 2</t>
  </si>
  <si>
    <t>D. Corretora 3</t>
  </si>
  <si>
    <t>Bonificação</t>
  </si>
  <si>
    <t>Ano</t>
  </si>
  <si>
    <t>Imposto Retido</t>
  </si>
  <si>
    <t>Mercado à vista - ações</t>
  </si>
  <si>
    <t>Mercado à vista - ouro</t>
  </si>
  <si>
    <t>Mercado à vista - ouro at. fin. fora bolsa</t>
  </si>
  <si>
    <t>Mercado opções - ações</t>
  </si>
  <si>
    <t>Mercado opções - ouro</t>
  </si>
  <si>
    <t>Mercado opções - fora de bolsa</t>
  </si>
  <si>
    <t>Mercado opções - outros</t>
  </si>
  <si>
    <t>Mercado futuro - dólar dos EUA</t>
  </si>
  <si>
    <t>Mercado futuro - índices</t>
  </si>
  <si>
    <t>Mercado futuro - juros</t>
  </si>
  <si>
    <t>Mercado futuro - outros</t>
  </si>
  <si>
    <t>Mercado a termo - ações/ouro</t>
  </si>
  <si>
    <t>Mercado a termo - outros</t>
  </si>
  <si>
    <t>Resultado negativo até o mês anterior</t>
  </si>
  <si>
    <t>I.R.R.F. Day Trade no mês</t>
  </si>
  <si>
    <t>Imposto Pago</t>
  </si>
  <si>
    <t>Operações Comuns</t>
  </si>
  <si>
    <t>Day-Trade</t>
  </si>
  <si>
    <t>Coluna Única</t>
  </si>
  <si>
    <t>Tipos</t>
  </si>
  <si>
    <t>Resultado da Carteira</t>
  </si>
  <si>
    <t>Resultado líquido do mês</t>
  </si>
  <si>
    <t>Imposto retido no Mês</t>
  </si>
  <si>
    <t>Limite</t>
  </si>
  <si>
    <t>CRDR3</t>
  </si>
  <si>
    <t>SQIA3.N</t>
  </si>
  <si>
    <t>V. Atual</t>
  </si>
  <si>
    <t>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</si>
</sst>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165" formatCode="0.0%"/>
    <numFmt numFmtId="166" formatCode="0.0000"/>
    <numFmt numFmtId="167" formatCode="0.00000"/>
    <numFmt numFmtId="168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499984740745262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165" fontId="0" fillId="0" borderId="3" xfId="2" applyNumberFormat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3" fillId="0" borderId="0" xfId="1" applyFont="1" applyAlignment="1">
      <alignment horizontal="center"/>
    </xf>
    <xf numFmtId="44" fontId="2" fillId="2" borderId="1" xfId="1" applyFont="1" applyFill="1" applyBorder="1" applyAlignment="1">
      <alignment horizontal="center"/>
    </xf>
    <xf numFmtId="165" fontId="2" fillId="2" borderId="3" xfId="2" applyNumberFormat="1" applyFont="1" applyFill="1" applyBorder="1" applyAlignment="1">
      <alignment horizontal="center"/>
    </xf>
    <xf numFmtId="165" fontId="0" fillId="0" borderId="0" xfId="2" applyNumberFormat="1" applyFont="1" applyAlignment="1">
      <alignment horizontal="center"/>
    </xf>
    <xf numFmtId="44" fontId="2" fillId="2" borderId="3" xfId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4" fontId="0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applyNumberFormat="1"/>
    <xf numFmtId="44" fontId="0" fillId="0" borderId="0" xfId="0" applyNumberFormat="1"/>
    <xf numFmtId="44" fontId="0" fillId="0" borderId="0" xfId="1" applyNumberFormat="1" applyFont="1"/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" fillId="0" borderId="4" xfId="1" applyFont="1" applyBorder="1" applyAlignment="1">
      <alignment horizontal="center"/>
    </xf>
    <xf numFmtId="7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44" fontId="2" fillId="3" borderId="0" xfId="1" applyFont="1" applyFill="1" applyBorder="1" applyAlignment="1">
      <alignment horizontal="center"/>
    </xf>
    <xf numFmtId="44" fontId="2" fillId="3" borderId="5" xfId="1" applyFont="1" applyFill="1" applyBorder="1" applyAlignment="1">
      <alignment horizontal="center"/>
    </xf>
    <xf numFmtId="17" fontId="2" fillId="3" borderId="5" xfId="0" applyNumberFormat="1" applyFont="1" applyFill="1" applyBorder="1" applyAlignment="1">
      <alignment horizontal="center"/>
    </xf>
    <xf numFmtId="17" fontId="0" fillId="0" borderId="0" xfId="0" applyNumberFormat="1" applyAlignment="1">
      <alignment horizontal="center"/>
    </xf>
    <xf numFmtId="44" fontId="2" fillId="3" borderId="6" xfId="1" applyFont="1" applyFill="1" applyBorder="1" applyAlignment="1">
      <alignment horizontal="center"/>
    </xf>
    <xf numFmtId="15" fontId="0" fillId="0" borderId="0" xfId="0" applyNumberFormat="1"/>
    <xf numFmtId="14" fontId="2" fillId="3" borderId="0" xfId="1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4" borderId="7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44" fontId="2" fillId="4" borderId="7" xfId="3" applyFont="1" applyFill="1" applyBorder="1" applyAlignment="1">
      <alignment horizontal="center"/>
    </xf>
    <xf numFmtId="0" fontId="2" fillId="4" borderId="7" xfId="3" applyNumberFormat="1" applyFont="1" applyFill="1" applyBorder="1" applyAlignment="1">
      <alignment horizontal="center"/>
    </xf>
    <xf numFmtId="44" fontId="2" fillId="4" borderId="7" xfId="1" applyFont="1" applyFill="1" applyBorder="1" applyAlignment="1">
      <alignment horizontal="center"/>
    </xf>
    <xf numFmtId="0" fontId="0" fillId="0" borderId="7" xfId="0" applyBorder="1"/>
    <xf numFmtId="0" fontId="0" fillId="0" borderId="7" xfId="0" applyBorder="1" applyAlignment="1" applyProtection="1">
      <alignment horizontal="center"/>
      <protection locked="0"/>
    </xf>
    <xf numFmtId="44" fontId="0" fillId="0" borderId="7" xfId="1" applyFont="1" applyBorder="1" applyProtection="1">
      <protection locked="0"/>
    </xf>
    <xf numFmtId="0" fontId="2" fillId="4" borderId="8" xfId="0" applyFont="1" applyFill="1" applyBorder="1" applyAlignment="1">
      <alignment horizontal="center"/>
    </xf>
    <xf numFmtId="0" fontId="0" fillId="5" borderId="7" xfId="0" applyFill="1" applyBorder="1"/>
    <xf numFmtId="0" fontId="0" fillId="5" borderId="9" xfId="0" applyFill="1" applyBorder="1"/>
    <xf numFmtId="44" fontId="2" fillId="2" borderId="0" xfId="1" applyFont="1" applyFill="1" applyBorder="1" applyAlignment="1">
      <alignment horizontal="center"/>
    </xf>
    <xf numFmtId="44" fontId="0" fillId="0" borderId="0" xfId="1" applyFont="1" applyBorder="1" applyAlignment="1">
      <alignment horizontal="center"/>
    </xf>
    <xf numFmtId="0" fontId="2" fillId="6" borderId="19" xfId="0" applyFont="1" applyFill="1" applyBorder="1"/>
    <xf numFmtId="0" fontId="2" fillId="4" borderId="7" xfId="0" applyFont="1" applyFill="1" applyBorder="1" applyAlignment="1" applyProtection="1">
      <alignment horizontal="center"/>
      <protection locked="0"/>
    </xf>
    <xf numFmtId="8" fontId="0" fillId="0" borderId="0" xfId="1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44" fontId="0" fillId="0" borderId="0" xfId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7" fontId="2" fillId="4" borderId="7" xfId="0" applyNumberFormat="1" applyFont="1" applyFill="1" applyBorder="1" applyProtection="1">
      <protection locked="0"/>
    </xf>
    <xf numFmtId="8" fontId="0" fillId="0" borderId="7" xfId="1" applyNumberFormat="1" applyFont="1" applyBorder="1" applyAlignment="1" applyProtection="1">
      <alignment horizontal="center"/>
      <protection locked="0"/>
    </xf>
    <xf numFmtId="17" fontId="0" fillId="0" borderId="0" xfId="0" applyNumberFormat="1" applyProtection="1">
      <protection locked="0"/>
    </xf>
    <xf numFmtId="168" fontId="0" fillId="5" borderId="8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4" xfId="0" applyNumberFormat="1" applyFill="1" applyBorder="1" applyAlignment="1">
      <alignment horizontal="center"/>
    </xf>
    <xf numFmtId="168" fontId="0" fillId="5" borderId="10" xfId="0" applyNumberFormat="1" applyFill="1" applyBorder="1" applyAlignment="1">
      <alignment horizontal="center"/>
    </xf>
    <xf numFmtId="168" fontId="0" fillId="5" borderId="15" xfId="0" applyNumberFormat="1" applyFill="1" applyBorder="1" applyAlignment="1">
      <alignment horizontal="center"/>
    </xf>
    <xf numFmtId="168" fontId="0" fillId="5" borderId="12" xfId="0" applyNumberFormat="1" applyFill="1" applyBorder="1" applyAlignment="1">
      <alignment horizontal="center"/>
    </xf>
    <xf numFmtId="168" fontId="0" fillId="5" borderId="16" xfId="0" applyNumberFormat="1" applyFill="1" applyBorder="1" applyAlignment="1">
      <alignment horizontal="center"/>
    </xf>
    <xf numFmtId="168" fontId="0" fillId="5" borderId="17" xfId="0" applyNumberFormat="1" applyFill="1" applyBorder="1" applyAlignment="1">
      <alignment horizontal="center"/>
    </xf>
    <xf numFmtId="168" fontId="0" fillId="5" borderId="13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0" fontId="0" fillId="0" borderId="9" xfId="0" applyBorder="1"/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6" xfId="0" applyNumberFormat="1" applyBorder="1" applyAlignment="1">
      <alignment horizontal="center"/>
    </xf>
    <xf numFmtId="168" fontId="0" fillId="0" borderId="17" xfId="0" applyNumberForma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168" fontId="0" fillId="0" borderId="18" xfId="0" applyNumberFormat="1" applyBorder="1" applyAlignment="1">
      <alignment horizontal="center"/>
    </xf>
    <xf numFmtId="0" fontId="0" fillId="7" borderId="0" xfId="0" applyFill="1"/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7" fontId="0" fillId="0" borderId="0" xfId="1" applyNumberFormat="1" applyFont="1" applyAlignment="1">
      <alignment horizontal="center"/>
    </xf>
    <xf numFmtId="44" fontId="2" fillId="3" borderId="0" xfId="1" applyFont="1" applyFill="1" applyAlignment="1">
      <alignment horizontal="center"/>
    </xf>
    <xf numFmtId="0" fontId="2" fillId="6" borderId="19" xfId="0" applyFont="1" applyFill="1" applyBorder="1" applyAlignment="1">
      <alignment horizontal="center"/>
    </xf>
    <xf numFmtId="168" fontId="0" fillId="0" borderId="19" xfId="1" applyNumberFormat="1" applyFont="1" applyBorder="1" applyAlignment="1">
      <alignment horizontal="center"/>
    </xf>
    <xf numFmtId="10" fontId="0" fillId="0" borderId="19" xfId="2" applyNumberFormat="1" applyFont="1" applyBorder="1" applyAlignment="1">
      <alignment horizontal="center"/>
    </xf>
    <xf numFmtId="0" fontId="2" fillId="6" borderId="20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7" fontId="2" fillId="4" borderId="7" xfId="0" applyNumberFormat="1" applyFont="1" applyFill="1" applyBorder="1" applyAlignment="1">
      <alignment horizontal="center" vertical="center"/>
    </xf>
    <xf numFmtId="168" fontId="0" fillId="5" borderId="8" xfId="0" applyNumberFormat="1" applyFill="1" applyBorder="1" applyAlignment="1">
      <alignment horizontal="center" vertical="center"/>
    </xf>
    <xf numFmtId="168" fontId="0" fillId="5" borderId="10" xfId="0" applyNumberFormat="1" applyFill="1" applyBorder="1" applyAlignment="1">
      <alignment horizontal="center" vertical="center"/>
    </xf>
    <xf numFmtId="168" fontId="0" fillId="0" borderId="8" xfId="0" applyNumberFormat="1" applyBorder="1" applyAlignment="1">
      <alignment horizontal="center" vertical="center"/>
    </xf>
    <xf numFmtId="168" fontId="0" fillId="0" borderId="11" xfId="0" applyNumberFormat="1" applyBorder="1" applyAlignment="1">
      <alignment horizontal="center" vertical="center"/>
    </xf>
    <xf numFmtId="168" fontId="0" fillId="0" borderId="10" xfId="0" applyNumberFormat="1" applyBorder="1" applyAlignment="1">
      <alignment horizontal="center" vertical="center"/>
    </xf>
    <xf numFmtId="168" fontId="0" fillId="5" borderId="11" xfId="0" applyNumberFormat="1" applyFill="1" applyBorder="1" applyAlignment="1">
      <alignment horizontal="center" vertical="center"/>
    </xf>
  </cellXfs>
  <cellStyles count="4">
    <cellStyle name="Moeda" xfId="1" builtinId="4"/>
    <cellStyle name="Moeda 2" xfId="3" xr:uid="{CB07A980-7F20-45CB-8D3B-F5AB6C7E1BBF}"/>
    <cellStyle name="Normal" xfId="0" builtinId="0"/>
    <cellStyle name="Porcentagem" xfId="2" builtinId="5"/>
  </cellStyles>
  <dxfs count="141"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rgb="FFFFD1D1"/>
      </font>
      <fill>
        <patternFill>
          <bgColor rgb="FF86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  <alignment horizontal="center" vertical="bottom" textRotation="0" wrapText="0" indent="0" justifyLastLine="0" shrinkToFit="0" readingOrder="0"/>
    </dxf>
    <dxf>
      <border outline="0">
        <top style="thin">
          <color rgb="FF5B9BD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  <alignment horizontal="center" vertical="bottom" textRotation="0" wrapText="0" indent="0" justifyLastLine="0" shrinkToFit="0" readingOrder="0"/>
    </dxf>
    <dxf>
      <border outline="0">
        <top style="thin">
          <color rgb="FF5B9BD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  <alignment horizontal="center" vertical="bottom" textRotation="0" wrapText="0" indent="0" justifyLastLine="0" shrinkToFit="0" readingOrder="0"/>
    </dxf>
    <dxf>
      <border outline="0">
        <top style="thin">
          <color rgb="FF5B9BD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  <alignment horizontal="center" vertical="bottom" textRotation="0" wrapText="0" indent="0" justifyLastLine="0" shrinkToFit="0" readingOrder="0"/>
    </dxf>
    <dxf>
      <border outline="0"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21" formatCode="dd/m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ichStyles" Target="richData/rich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06/relationships/rdSupportingPropertyBag" Target="richData/rdsupportingpropertybag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78181573457163"/>
          <c:y val="0.10833333333333334"/>
          <c:w val="0.76901756511205333"/>
          <c:h val="0.74583333333333335"/>
        </c:manualLayout>
      </c:layout>
      <c:ofPieChart>
        <c:ofPieType val="pie"/>
        <c:varyColors val="1"/>
        <c:ser>
          <c:idx val="0"/>
          <c:order val="0"/>
          <c:tx>
            <c:strRef>
              <c:f>Resumo!$K$1</c:f>
              <c:strCache>
                <c:ptCount val="1"/>
                <c:pt idx="0">
                  <c:v> Valor Atual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D02-465F-9BB0-182EEC62129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D1-4F5A-BED0-8E6144A4414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45-4EB7-95D3-95FC577921F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45-4EB7-95D3-95FC577921F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F77-4D24-B36F-EC6B2016A7E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9C3-4883-AB95-2C2741801FD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8E-4FCE-9ACC-1106EB709FD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AB9-48E6-87AD-62C269571270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4C8-42A4-AF5E-5BD5AE726CF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A85-4923-B106-01EFFC95F8EB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D12-4024-BFF8-CEEC9739E8AA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C35-438A-A751-6938946249DA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C35-438A-A751-6938946249DA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61C-4FE4-934E-75011A778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Resumo!Ativos</c:f>
              <c:strCache>
                <c:ptCount val="13"/>
                <c:pt idx="0">
                  <c:v>AAPL34</c:v>
                </c:pt>
                <c:pt idx="1">
                  <c:v>AESB3</c:v>
                </c:pt>
                <c:pt idx="2">
                  <c:v>BBDC4</c:v>
                </c:pt>
                <c:pt idx="3">
                  <c:v>BOVA11</c:v>
                </c:pt>
                <c:pt idx="4">
                  <c:v>BRCR11</c:v>
                </c:pt>
                <c:pt idx="5">
                  <c:v>CASH3</c:v>
                </c:pt>
                <c:pt idx="6">
                  <c:v>HGLG11</c:v>
                </c:pt>
                <c:pt idx="7">
                  <c:v>ITUB4</c:v>
                </c:pt>
                <c:pt idx="8">
                  <c:v>MSFT34</c:v>
                </c:pt>
                <c:pt idx="9">
                  <c:v>PETR4</c:v>
                </c:pt>
                <c:pt idx="10">
                  <c:v>PRNR3</c:v>
                </c:pt>
                <c:pt idx="11">
                  <c:v>SMAL11</c:v>
                </c:pt>
                <c:pt idx="12">
                  <c:v>SQIA3</c:v>
                </c:pt>
              </c:strCache>
            </c:strRef>
          </c:cat>
          <c:val>
            <c:numRef>
              <c:f>Resumo!ValorAtual</c:f>
              <c:numCache>
                <c:formatCode>_("R$"* #,##0.00_);_("R$"* \(#,##0.00\);_("R$"*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2-465F-9BB0-182EEC621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pos"/>
        <c:splitPos val="7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471282063465255E-2"/>
          <c:y val="8.8246209786459709E-2"/>
          <c:w val="0.92705743587306955"/>
          <c:h val="0.792361859325977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Resumo!$O$1</c:f>
              <c:strCache>
                <c:ptCount val="1"/>
                <c:pt idx="0">
                  <c:v> Int. Prejuízo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5629D38-A82A-4446-A36F-BB8BDA3F77DC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8154694C-8946-4FFC-8659-2B7184526AB0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064-4AAC-9F17-90DA1BB098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9B46BF-28B2-410D-B49A-709252F68924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5317CDB4-474A-43FF-B952-DDECB982F079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064-4AAC-9F17-90DA1BB098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CD3D26-0DCF-41F3-981C-B414ACA136C7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F3F8576A-ACF1-40E6-A812-DC35B2A530D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729-4E53-99EA-63A0DFE329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B4480-EB98-4053-B21B-06DF22A6132A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7DAB51FA-5FCB-46BE-A266-C4DEA6F626F2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729-4E53-99EA-63A0DFE329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81E11F-9370-49C3-9573-BF8018FF6816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DEE8BA0C-2C96-47B0-8C28-1F6AEE894D87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E93-43B3-9A1B-A1D236E2E8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B00E19-3DBF-4854-846E-D805816CFEA4}" type="CELLRANGE">
                      <a:rPr lang="en-US"/>
                      <a:pPr/>
                      <a:t>[INTERVALODACÉLULA]</a:t>
                    </a:fld>
                    <a:endParaRPr lang="en-US" baseline="0"/>
                  </a:p>
                  <a:p>
                    <a:fld id="{261ACD29-E19D-4AB6-815F-DDADB0D17BD4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E91-46E4-B7AD-B9C453A378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035459-91CA-427B-8575-EAE9A606D7F5}" type="CELLRANGE">
                      <a:rPr lang="en-US" baseline="0"/>
                      <a:pPr/>
                      <a:t>[INTERVALODACÉLULA]</a:t>
                    </a:fld>
                    <a:r>
                      <a:rPr lang="en-US" baseline="0"/>
                      <a:t>
</a:t>
                    </a:r>
                    <a:fld id="{E535880C-D09D-4FB6-9B5B-6204FAA67CB3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D-407D-AE7A-44758BD6744D}"/>
                </c:ext>
              </c:extLst>
            </c:dLbl>
            <c:numFmt formatCode="[&lt;0]\-&quot;R$&quot;\ 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Resumo!AtivosLucro</c:f>
              <c:strCache>
                <c:ptCount val="7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</c:strCache>
            </c:strRef>
          </c:cat>
          <c:val>
            <c:numRef>
              <c:f>Resumo!IntervaloPrejuizo</c:f>
              <c:numCache>
                <c:formatCode>_("R$"* #,##0.00_);_("R$"* \(#,##0.00\);_("R$"* "-"??_);_(@_)</c:formatCode>
                <c:ptCount val="7"/>
                <c:pt idx="0">
                  <c:v>-1102.82</c:v>
                </c:pt>
                <c:pt idx="1">
                  <c:v>-3707.4100000000008</c:v>
                </c:pt>
                <c:pt idx="2">
                  <c:v>-1662.59</c:v>
                </c:pt>
                <c:pt idx="3">
                  <c:v>-2060.13</c:v>
                </c:pt>
                <c:pt idx="4">
                  <c:v>-1117.5400000000002</c:v>
                </c:pt>
                <c:pt idx="5">
                  <c:v>-6465</c:v>
                </c:pt>
                <c:pt idx="6">
                  <c:v>-500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Resumo!AtivosPrejuizo</c15:f>
                <c15:dlblRangeCache>
                  <c:ptCount val="7"/>
                  <c:pt idx="0">
                    <c:v> AESB3 </c:v>
                  </c:pt>
                  <c:pt idx="1">
                    <c:v> BBDC4 </c:v>
                  </c:pt>
                  <c:pt idx="2">
                    <c:v> CASH3 </c:v>
                  </c:pt>
                  <c:pt idx="3">
                    <c:v> ITUB4 </c:v>
                  </c:pt>
                  <c:pt idx="4">
                    <c:v> PETR4 </c:v>
                  </c:pt>
                  <c:pt idx="5">
                    <c:v> PRNR3 </c:v>
                  </c:pt>
                  <c:pt idx="6">
                    <c:v> SQIA3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064-4AAC-9F17-90DA1BB09831}"/>
            </c:ext>
          </c:extLst>
        </c:ser>
        <c:ser>
          <c:idx val="1"/>
          <c:order val="1"/>
          <c:tx>
            <c:strRef>
              <c:f>Resumo!$Q$1</c:f>
              <c:strCache>
                <c:ptCount val="1"/>
                <c:pt idx="0">
                  <c:v> Int. Lucro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[&gt;0]&quot;R$&quot;\ 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Resumo!AtivosLucro</c:f>
              <c:strCache>
                <c:ptCount val="7"/>
                <c:pt idx="0">
                  <c:v>  </c:v>
                </c:pt>
                <c:pt idx="1">
                  <c:v>  </c:v>
                </c:pt>
                <c:pt idx="2">
                  <c:v>  </c:v>
                </c:pt>
                <c:pt idx="3">
                  <c:v>  </c:v>
                </c:pt>
                <c:pt idx="4">
                  <c:v>  </c:v>
                </c:pt>
                <c:pt idx="5">
                  <c:v>  </c:v>
                </c:pt>
                <c:pt idx="6">
                  <c:v>  </c:v>
                </c:pt>
              </c:strCache>
            </c:strRef>
          </c:cat>
          <c:val>
            <c:numRef>
              <c:f>Resumo!IntervaloLucro</c:f>
              <c:numCache>
                <c:formatCode>_("R$"* #,##0.00_);_("R$"* \(#,##0.00\);_("R$"* "-"??_);_(@_)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64-4AAC-9F17-90DA1BB09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49689103"/>
        <c:axId val="949689519"/>
      </c:barChart>
      <c:catAx>
        <c:axId val="94968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9689519"/>
        <c:crosses val="autoZero"/>
        <c:auto val="1"/>
        <c:lblAlgn val="ctr"/>
        <c:lblOffset val="100"/>
        <c:noMultiLvlLbl val="0"/>
      </c:catAx>
      <c:valAx>
        <c:axId val="949689519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49689103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566215761491352E-2"/>
          <c:y val="2.0833333333333332E-2"/>
          <c:w val="0.90576970186419004"/>
          <c:h val="0.88749999999999996"/>
        </c:manualLayout>
      </c:layout>
      <c:pie3DChart>
        <c:varyColors val="1"/>
        <c:ser>
          <c:idx val="0"/>
          <c:order val="0"/>
          <c:tx>
            <c:strRef>
              <c:f>Resumo!$X$1</c:f>
              <c:strCache>
                <c:ptCount val="1"/>
                <c:pt idx="0">
                  <c:v> V. Atual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EA3-42D7-980F-1DAD6AAF10C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EA3-42D7-980F-1DAD6AAF10C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EA3-42D7-980F-1DAD6AAF10C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EA3-42D7-980F-1DAD6AAF10C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EA3-42D7-980F-1DAD6AAF10C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1">
                      <a:tint val="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EA3-42D7-980F-1DAD6AAF10C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4EA3-42D7-980F-1DAD6AAF10C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4EA3-42D7-980F-1DAD6AAF10C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1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4EA3-42D7-980F-1DAD6AAF10C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4EA3-42D7-980F-1DAD6AAF10C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4EA3-42D7-980F-1DAD6AAF10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Resumo!$W$2:$W$5</c:f>
              <c:strCache>
                <c:ptCount val="4"/>
                <c:pt idx="0">
                  <c:v>BDR</c:v>
                </c:pt>
                <c:pt idx="1">
                  <c:v>Ação</c:v>
                </c:pt>
                <c:pt idx="2">
                  <c:v>ETF</c:v>
                </c:pt>
                <c:pt idx="3">
                  <c:v>FII</c:v>
                </c:pt>
              </c:strCache>
            </c:strRef>
          </c:cat>
          <c:val>
            <c:numRef>
              <c:f>Resumo!$X$2:$X$5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EA3-42D7-980F-1DAD6AAF1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search?q=lista+de+a%C3%A7%C3%B5es+isentas+de+ir&amp;biw=2560&amp;bih=1297&amp;tbs=qdr%3Ay&amp;ei=Nu_tYLjqDf2n5OUP3pm20Ac&amp;oq=lista+de+a%C3%A7%C3%B5es+isentas+de+ir&amp;gs_lcp=Cgdnd3Mtd2l6EAMyAggAOgYIABAWEB5KBAhBGABQjwtYqAxg-A1oAHACeACAAXeIAdQCkgEDMC4zmAEAoAEBqgEHZ3dzLXdpesABAQ&amp;sclient=gws-wiz&amp;ved=0ahUKEwi43dS66eDxAhX9E7kGHd6MDXoQ4dUDCA4&amp;uact=5" TargetMode="External"/><Relationship Id="rId1" Type="http://schemas.openxmlformats.org/officeDocument/2006/relationships/hyperlink" Target="https://excelparaestagio.klickpages.com.br/inscricao-serie-controlebolsavalores-vba?origemurl=hashtag_yt_org_seriecontrolebolsavalores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ovimenta&#231;&#245;es!A1"/><Relationship Id="rId2" Type="http://schemas.openxmlformats.org/officeDocument/2006/relationships/hyperlink" Target="#'Notas Day Trade'!A1"/><Relationship Id="rId1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cro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cros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cro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15</xdr:col>
      <xdr:colOff>1</xdr:colOff>
      <xdr:row>17</xdr:row>
      <xdr:rowOff>161925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9F3A3C3-E992-4414-B885-9E898EE7060C}"/>
            </a:ext>
          </a:extLst>
        </xdr:cNvPr>
        <xdr:cNvGrpSpPr/>
      </xdr:nvGrpSpPr>
      <xdr:grpSpPr>
        <a:xfrm>
          <a:off x="1" y="0"/>
          <a:ext cx="9144000" cy="3400425"/>
          <a:chOff x="1" y="0"/>
          <a:chExt cx="9144000" cy="3400425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92AC3E8-EBC8-4525-847D-582EDDD2CE17}"/>
              </a:ext>
            </a:extLst>
          </xdr:cNvPr>
          <xdr:cNvSpPr/>
        </xdr:nvSpPr>
        <xdr:spPr>
          <a:xfrm>
            <a:off x="1" y="0"/>
            <a:ext cx="9144000" cy="3400425"/>
          </a:xfrm>
          <a:prstGeom prst="roundRect">
            <a:avLst>
              <a:gd name="adj" fmla="val 12397"/>
            </a:avLst>
          </a:prstGeom>
          <a:gradFill flip="none" rotWithShape="1">
            <a:gsLst>
              <a:gs pos="0">
                <a:schemeClr val="tx2">
                  <a:lumMod val="75000"/>
                  <a:shade val="30000"/>
                  <a:satMod val="115000"/>
                </a:schemeClr>
              </a:gs>
              <a:gs pos="50000">
                <a:schemeClr val="tx2">
                  <a:lumMod val="75000"/>
                  <a:shade val="67500"/>
                  <a:satMod val="115000"/>
                </a:schemeClr>
              </a:gs>
              <a:gs pos="100000">
                <a:schemeClr val="tx2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E9F05D3B-402F-468E-B85E-FDCED8FC30D3}"/>
              </a:ext>
            </a:extLst>
          </xdr:cNvPr>
          <xdr:cNvSpPr txBox="1"/>
        </xdr:nvSpPr>
        <xdr:spPr>
          <a:xfrm>
            <a:off x="609600" y="571501"/>
            <a:ext cx="8119140" cy="1238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A Planilha de Controle para Ativos negociados em Bolsa</a:t>
            </a:r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 de Valores foi criada para que você tenha, em um só lugar, todos os seus ativos negociados na Bolsa de Valores.</a:t>
            </a:r>
          </a:p>
          <a:p>
            <a:endPara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endParaRPr>
          </a:p>
          <a:p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Além de poder monitorar todos esses ativos e a sua carteira como um todo, a Planilha também vai te auxiliar no cálculo de Imposto de Renda tanto para os DARFs mensais (caso existam) como para os modelos exigidos na Declaração do Imposto sobra a Renda da Pessoa Física (DIRPF). </a:t>
            </a:r>
            <a:endPara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D1FD38F-0443-46E3-8284-D439B858629E}"/>
              </a:ext>
            </a:extLst>
          </xdr:cNvPr>
          <xdr:cNvSpPr txBox="1"/>
        </xdr:nvSpPr>
        <xdr:spPr>
          <a:xfrm>
            <a:off x="609600" y="190500"/>
            <a:ext cx="4642278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800" b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SOBRE A </a:t>
            </a:r>
            <a:r>
              <a:rPr lang="pt-BR" sz="1800" b="1">
                <a:solidFill>
                  <a:srgbClr val="FFFF00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PLANILHA</a:t>
            </a:r>
            <a:endParaRPr lang="pt-BR" sz="1800" b="0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49A880E-09FE-4025-B53A-AF6301AA824C}"/>
              </a:ext>
            </a:extLst>
          </xdr:cNvPr>
          <xdr:cNvSpPr txBox="1"/>
        </xdr:nvSpPr>
        <xdr:spPr>
          <a:xfrm>
            <a:off x="609600" y="1905000"/>
            <a:ext cx="8119140" cy="704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Se você quiser aprender a criar essa planilha do zero, é só acessar a </a:t>
            </a:r>
            <a:r>
              <a:rPr lang="pt-BR" sz="1200" b="1" u="sng" baseline="0">
                <a:solidFill>
                  <a:srgbClr val="FFFF00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Série de Controles para Bolsa de Valores</a:t>
            </a:r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, na qual vamos te ensinar bem passo a passo tudo que você precisa para construir essa planilha.</a:t>
            </a:r>
            <a:endPara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endParaRPr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C02D9BC9-A62A-4610-8F18-410418C90059}"/>
              </a:ext>
            </a:extLst>
          </xdr:cNvPr>
          <xdr:cNvSpPr txBox="1"/>
        </xdr:nvSpPr>
        <xdr:spPr>
          <a:xfrm>
            <a:off x="609600" y="2667000"/>
            <a:ext cx="8119140" cy="523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Se quiser um passo a passo em formato de vídeo mostrando todas as funcionalidades e boas práticas dessa planilha, basta você acessar a </a:t>
            </a:r>
            <a:r>
              <a:rPr lang="pt-BR" sz="1200" b="1" u="sng" baseline="0">
                <a:solidFill>
                  <a:srgbClr val="FFFF00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Aula de Apresentação da Planilha de Controle</a:t>
            </a:r>
            <a:r>
              <a:rPr lang="pt-BR" sz="1200" b="0" baseline="0">
                <a:solidFill>
                  <a:schemeClr val="bg1"/>
                </a:solidFill>
                <a:latin typeface="Montserrat" panose="02000505000000020004" pitchFamily="2" charset="0"/>
                <a:ea typeface="Roboto" panose="02000000000000000000" pitchFamily="2" charset="0"/>
              </a:rPr>
              <a:t>.</a:t>
            </a:r>
          </a:p>
          <a:p>
            <a:endPara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0</xdr:colOff>
      <xdr:row>19</xdr:row>
      <xdr:rowOff>95250</xdr:rowOff>
    </xdr:from>
    <xdr:to>
      <xdr:col>15</xdr:col>
      <xdr:colOff>0</xdr:colOff>
      <xdr:row>29</xdr:row>
      <xdr:rowOff>104775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B584302-A462-488F-849B-018D560C4673}"/>
            </a:ext>
          </a:extLst>
        </xdr:cNvPr>
        <xdr:cNvSpPr/>
      </xdr:nvSpPr>
      <xdr:spPr>
        <a:xfrm>
          <a:off x="0" y="3714750"/>
          <a:ext cx="9144000" cy="1914525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20000"/>
                <a:lumOff val="80000"/>
                <a:shade val="30000"/>
                <a:satMod val="115000"/>
              </a:schemeClr>
            </a:gs>
            <a:gs pos="50000">
              <a:schemeClr val="tx2">
                <a:lumMod val="20000"/>
                <a:lumOff val="80000"/>
                <a:shade val="67500"/>
                <a:satMod val="115000"/>
              </a:schemeClr>
            </a:gs>
            <a:gs pos="100000">
              <a:schemeClr val="tx2">
                <a:lumMod val="20000"/>
                <a:lumOff val="80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609599</xdr:colOff>
      <xdr:row>22</xdr:row>
      <xdr:rowOff>95251</xdr:rowOff>
    </xdr:from>
    <xdr:to>
      <xdr:col>14</xdr:col>
      <xdr:colOff>194339</xdr:colOff>
      <xdr:row>29</xdr:row>
      <xdr:rowOff>1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75F56A83-61EC-4ECA-8E1D-CBA556443134}"/>
            </a:ext>
          </a:extLst>
        </xdr:cNvPr>
        <xdr:cNvSpPr txBox="1"/>
      </xdr:nvSpPr>
      <xdr:spPr>
        <a:xfrm>
          <a:off x="609599" y="4286251"/>
          <a:ext cx="8119140" cy="1238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Na aba Macros você vai ter um painel com todas as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10 Macros</a:t>
          </a:r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existentes nessa planilha. </a:t>
          </a:r>
        </a:p>
        <a:p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Além disso, você vai conseguir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navegar para as abas </a:t>
          </a:r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utilizadas nas macros criadas, são elas: Notas; Notas Day Trade;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</a:t>
          </a:r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Movimentações. Para ir até elas, basta clicar no botão com o nome da aba que você desejar.</a:t>
          </a:r>
        </a:p>
      </xdr:txBody>
    </xdr:sp>
    <xdr:clientData/>
  </xdr:twoCellAnchor>
  <xdr:twoCellAnchor>
    <xdr:from>
      <xdr:col>0</xdr:col>
      <xdr:colOff>609599</xdr:colOff>
      <xdr:row>20</xdr:row>
      <xdr:rowOff>95250</xdr:rowOff>
    </xdr:from>
    <xdr:to>
      <xdr:col>8</xdr:col>
      <xdr:colOff>375077</xdr:colOff>
      <xdr:row>22</xdr:row>
      <xdr:rowOff>104775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3F29D19-B962-48A0-8C1A-E46ABA9B9856}"/>
            </a:ext>
          </a:extLst>
        </xdr:cNvPr>
        <xdr:cNvSpPr txBox="1"/>
      </xdr:nvSpPr>
      <xdr:spPr>
        <a:xfrm>
          <a:off x="609599" y="3905250"/>
          <a:ext cx="4642278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 MACROS</a:t>
          </a: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15</xdr:col>
      <xdr:colOff>0</xdr:colOff>
      <xdr:row>46</xdr:row>
      <xdr:rowOff>123823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3AFB2949-7B0B-40F9-9900-C43D6E624C4F}"/>
            </a:ext>
          </a:extLst>
        </xdr:cNvPr>
        <xdr:cNvSpPr/>
      </xdr:nvSpPr>
      <xdr:spPr>
        <a:xfrm>
          <a:off x="0" y="6096000"/>
          <a:ext cx="9144000" cy="2790823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75000"/>
                <a:shade val="30000"/>
                <a:satMod val="115000"/>
              </a:schemeClr>
            </a:gs>
            <a:gs pos="50000">
              <a:schemeClr val="tx2">
                <a:lumMod val="75000"/>
                <a:shade val="67500"/>
                <a:satMod val="115000"/>
              </a:schemeClr>
            </a:gs>
            <a:gs pos="100000">
              <a:schemeClr val="tx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609599</xdr:colOff>
      <xdr:row>35</xdr:row>
      <xdr:rowOff>125668</xdr:rowOff>
    </xdr:from>
    <xdr:to>
      <xdr:col>14</xdr:col>
      <xdr:colOff>194339</xdr:colOff>
      <xdr:row>46</xdr:row>
      <xdr:rowOff>52294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BA241116-80D5-4DF5-8046-FE324B83C149}"/>
            </a:ext>
          </a:extLst>
        </xdr:cNvPr>
        <xdr:cNvSpPr txBox="1"/>
      </xdr:nvSpPr>
      <xdr:spPr>
        <a:xfrm>
          <a:off x="609599" y="6793168"/>
          <a:ext cx="8119140" cy="2022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As abas Notas e Notas Day Trade foram criadas para que você passe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a limpo as informações das Notas de Corretagem da sua corretora.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As colunas A e B não devem ser preenchidas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, pois serão atualizadas automaticamente após a execução da macro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"Incluir Notas".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Para facilitar o rateio das taxas entre os ativos negociados em uma determinada Nota, basta utilizar a macro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"Distribuir Taxas"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e responder as perguntas que a macro vai te fazer.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Nessas duas abas também existe a possibilidade de retornar à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aba "Macros" 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apenas clicando no botão que fica na célula A1.</a:t>
          </a:r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33</xdr:row>
      <xdr:rowOff>73639</xdr:rowOff>
    </xdr:from>
    <xdr:to>
      <xdr:col>8</xdr:col>
      <xdr:colOff>375077</xdr:colOff>
      <xdr:row>36</xdr:row>
      <xdr:rowOff>43623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6B1F56E-3F81-4847-9AA6-019BF42E6EB7}"/>
            </a:ext>
          </a:extLst>
        </xdr:cNvPr>
        <xdr:cNvSpPr txBox="1"/>
      </xdr:nvSpPr>
      <xdr:spPr>
        <a:xfrm>
          <a:off x="609599" y="6360139"/>
          <a:ext cx="4642278" cy="541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AS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ABAS DE NOTAS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49</xdr:row>
      <xdr:rowOff>0</xdr:rowOff>
    </xdr:from>
    <xdr:to>
      <xdr:col>15</xdr:col>
      <xdr:colOff>0</xdr:colOff>
      <xdr:row>66</xdr:row>
      <xdr:rowOff>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B64228D-AA4B-4328-927D-4B7726489ABD}"/>
            </a:ext>
          </a:extLst>
        </xdr:cNvPr>
        <xdr:cNvSpPr/>
      </xdr:nvSpPr>
      <xdr:spPr>
        <a:xfrm>
          <a:off x="0" y="9334500"/>
          <a:ext cx="9144000" cy="323850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20000"/>
                <a:lumOff val="80000"/>
                <a:shade val="30000"/>
                <a:satMod val="115000"/>
              </a:schemeClr>
            </a:gs>
            <a:gs pos="50000">
              <a:schemeClr val="tx2">
                <a:lumMod val="20000"/>
                <a:lumOff val="80000"/>
                <a:shade val="67500"/>
                <a:satMod val="115000"/>
              </a:schemeClr>
            </a:gs>
            <a:gs pos="100000">
              <a:schemeClr val="tx2">
                <a:lumMod val="20000"/>
                <a:lumOff val="80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53</xdr:row>
      <xdr:rowOff>23483</xdr:rowOff>
    </xdr:from>
    <xdr:to>
      <xdr:col>14</xdr:col>
      <xdr:colOff>194340</xdr:colOff>
      <xdr:row>75</xdr:row>
      <xdr:rowOff>34687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701CEEA-6336-40CE-9A2E-019394D091FA}"/>
            </a:ext>
          </a:extLst>
        </xdr:cNvPr>
        <xdr:cNvSpPr txBox="1"/>
      </xdr:nvSpPr>
      <xdr:spPr>
        <a:xfrm>
          <a:off x="609600" y="10119983"/>
          <a:ext cx="8119140" cy="42022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 aba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Movimentações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é um consolidado com todas as movimentações que você realizar em sua corretora.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Essa aba pode ser preenchida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manualmente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ou através das macros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"Incluir Notas", "Excluir Nota/ID", "Bonificação", "Split/Inplit", "IPO" ou "Subscrição".</a:t>
          </a:r>
        </a:p>
        <a:p>
          <a:endParaRPr lang="pt-BR" sz="1200" b="1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Na célula B1 dessa aba você pode digitar o nome da sua corretora e checar o saldo na célula D1. Se houver alguma diferença, provavelmente alguma movimentação não foi incluída.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Sempre que for realizada uma inserção de informações de forma manual nessa aba é necessário executar a macro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"Organizar Movimentações".</a:t>
          </a:r>
          <a:endParaRPr lang="pt-BR" sz="1200" b="1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50</xdr:row>
      <xdr:rowOff>183028</xdr:rowOff>
    </xdr:from>
    <xdr:to>
      <xdr:col>8</xdr:col>
      <xdr:colOff>375077</xdr:colOff>
      <xdr:row>52</xdr:row>
      <xdr:rowOff>186585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E97E8D62-12C2-4571-BF6F-8F0B41D82C63}"/>
            </a:ext>
          </a:extLst>
        </xdr:cNvPr>
        <xdr:cNvSpPr txBox="1"/>
      </xdr:nvSpPr>
      <xdr:spPr>
        <a:xfrm>
          <a:off x="609599" y="9708028"/>
          <a:ext cx="4642278" cy="384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 MOVIMENTAÇÕES</a:t>
          </a:r>
        </a:p>
      </xdr:txBody>
    </xdr:sp>
    <xdr:clientData/>
  </xdr:twoCellAnchor>
  <xdr:twoCellAnchor>
    <xdr:from>
      <xdr:col>0</xdr:col>
      <xdr:colOff>0</xdr:colOff>
      <xdr:row>68</xdr:row>
      <xdr:rowOff>57151</xdr:rowOff>
    </xdr:from>
    <xdr:to>
      <xdr:col>15</xdr:col>
      <xdr:colOff>0</xdr:colOff>
      <xdr:row>79</xdr:row>
      <xdr:rowOff>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A971E613-07B8-4841-A68F-75AE9DFB3B7D}"/>
            </a:ext>
          </a:extLst>
        </xdr:cNvPr>
        <xdr:cNvSpPr/>
      </xdr:nvSpPr>
      <xdr:spPr>
        <a:xfrm>
          <a:off x="0" y="13011151"/>
          <a:ext cx="9144000" cy="2038349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75000"/>
                <a:shade val="30000"/>
                <a:satMod val="115000"/>
              </a:schemeClr>
            </a:gs>
            <a:gs pos="50000">
              <a:schemeClr val="tx2">
                <a:lumMod val="75000"/>
                <a:shade val="67500"/>
                <a:satMod val="115000"/>
              </a:schemeClr>
            </a:gs>
            <a:gs pos="100000">
              <a:schemeClr val="tx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71</xdr:row>
      <xdr:rowOff>157725</xdr:rowOff>
    </xdr:from>
    <xdr:to>
      <xdr:col>14</xdr:col>
      <xdr:colOff>194340</xdr:colOff>
      <xdr:row>78</xdr:row>
      <xdr:rowOff>133350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66F7750E-97DB-4D37-9AF9-3F81EFE7F7E2}"/>
            </a:ext>
          </a:extLst>
        </xdr:cNvPr>
        <xdr:cNvSpPr txBox="1"/>
      </xdr:nvSpPr>
      <xdr:spPr>
        <a:xfrm>
          <a:off x="609600" y="13683225"/>
          <a:ext cx="8119140" cy="130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Na aba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Resumo </a:t>
          </a:r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você vai encontrar a sua posição em cada um dos ativos das seguintes categorias: Ações; FIIs; ETFs e BDRs.</a:t>
          </a:r>
        </a:p>
        <a:p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Através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de tabelas e gráficos você vai conseguir analisar a variação em cada um dos ativos, distribuição da carteira por ativo, distribuição da carteira por classe de ativos e o resultado global da carteira.</a:t>
          </a:r>
        </a:p>
        <a:p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69</xdr:row>
      <xdr:rowOff>133458</xdr:rowOff>
    </xdr:from>
    <xdr:to>
      <xdr:col>8</xdr:col>
      <xdr:colOff>375077</xdr:colOff>
      <xdr:row>72</xdr:row>
      <xdr:rowOff>108912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6EC2ED1-01B7-4DDD-92F9-803AC53596FF}"/>
            </a:ext>
          </a:extLst>
        </xdr:cNvPr>
        <xdr:cNvSpPr txBox="1"/>
      </xdr:nvSpPr>
      <xdr:spPr>
        <a:xfrm>
          <a:off x="609599" y="13277958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</a:t>
          </a:r>
          <a:r>
            <a:rPr lang="pt-BR" sz="1800" b="1" baseline="0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 RESUMO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81</xdr:row>
      <xdr:rowOff>0</xdr:rowOff>
    </xdr:from>
    <xdr:to>
      <xdr:col>15</xdr:col>
      <xdr:colOff>0</xdr:colOff>
      <xdr:row>94</xdr:row>
      <xdr:rowOff>171450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F6394D1-ECFE-43A0-858B-DBA7F767C623}"/>
            </a:ext>
          </a:extLst>
        </xdr:cNvPr>
        <xdr:cNvSpPr/>
      </xdr:nvSpPr>
      <xdr:spPr>
        <a:xfrm>
          <a:off x="0" y="15430500"/>
          <a:ext cx="9144000" cy="264795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20000"/>
                <a:lumOff val="80000"/>
                <a:shade val="30000"/>
                <a:satMod val="115000"/>
              </a:schemeClr>
            </a:gs>
            <a:gs pos="50000">
              <a:schemeClr val="tx2">
                <a:lumMod val="20000"/>
                <a:lumOff val="80000"/>
                <a:shade val="67500"/>
                <a:satMod val="115000"/>
              </a:schemeClr>
            </a:gs>
            <a:gs pos="100000">
              <a:schemeClr val="tx2">
                <a:lumMod val="20000"/>
                <a:lumOff val="80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84</xdr:row>
      <xdr:rowOff>100574</xdr:rowOff>
    </xdr:from>
    <xdr:to>
      <xdr:col>14</xdr:col>
      <xdr:colOff>194340</xdr:colOff>
      <xdr:row>93</xdr:row>
      <xdr:rowOff>57150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B55CF094-D2B0-4A5C-A832-9C5895E1BD1D}"/>
            </a:ext>
          </a:extLst>
        </xdr:cNvPr>
        <xdr:cNvSpPr txBox="1"/>
      </xdr:nvSpPr>
      <xdr:spPr>
        <a:xfrm>
          <a:off x="609600" y="16102574"/>
          <a:ext cx="8119140" cy="167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Nessa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planilha temos 4 abas direcionadas para o cálculo e pagamento de Imposto, são elas: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Imposto de Renda; Imposto de Renda Day Trade; Imposto de Renda F.I.I; DARF a Pagar.</a:t>
          </a:r>
        </a:p>
        <a:p>
          <a:endParaRPr lang="pt-BR" sz="1200" b="1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Em cada uma delas realizamos os cálculos de imposto devido, rendimentos isentos, prejuízos acumulados e qual é o valor a ser pago (se houver) em cada um dos meses.</a:t>
          </a:r>
        </a:p>
        <a:p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Sempre que houver um saldo de imposto a ser pago haverá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um destaque no respectivo mês na aba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DARF a Pagar.</a:t>
          </a:r>
          <a:endParaRPr lang="pt-BR" sz="1200" b="1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82</xdr:row>
      <xdr:rowOff>76307</xdr:rowOff>
    </xdr:from>
    <xdr:to>
      <xdr:col>8</xdr:col>
      <xdr:colOff>375077</xdr:colOff>
      <xdr:row>85</xdr:row>
      <xdr:rowOff>51761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120C08B8-3154-497D-A58A-66068C659EA9}"/>
            </a:ext>
          </a:extLst>
        </xdr:cNvPr>
        <xdr:cNvSpPr txBox="1"/>
      </xdr:nvSpPr>
      <xdr:spPr>
        <a:xfrm>
          <a:off x="609599" y="15697307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AS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</a:t>
          </a:r>
          <a:r>
            <a:rPr lang="pt-BR" sz="1800" b="1" baseline="0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S DE IMPOSTO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97</xdr:row>
      <xdr:rowOff>1</xdr:rowOff>
    </xdr:from>
    <xdr:to>
      <xdr:col>15</xdr:col>
      <xdr:colOff>0</xdr:colOff>
      <xdr:row>108</xdr:row>
      <xdr:rowOff>1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E47BFC6-6CA3-46C6-BB5D-7B1030BB767C}"/>
            </a:ext>
          </a:extLst>
        </xdr:cNvPr>
        <xdr:cNvSpPr/>
      </xdr:nvSpPr>
      <xdr:spPr>
        <a:xfrm>
          <a:off x="0" y="18478501"/>
          <a:ext cx="9144000" cy="209550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75000"/>
                <a:shade val="30000"/>
                <a:satMod val="115000"/>
              </a:schemeClr>
            </a:gs>
            <a:gs pos="50000">
              <a:schemeClr val="tx2">
                <a:lumMod val="75000"/>
                <a:shade val="67500"/>
                <a:satMod val="115000"/>
              </a:schemeClr>
            </a:gs>
            <a:gs pos="100000">
              <a:schemeClr val="tx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100</xdr:row>
      <xdr:rowOff>100574</xdr:rowOff>
    </xdr:from>
    <xdr:to>
      <xdr:col>14</xdr:col>
      <xdr:colOff>194340</xdr:colOff>
      <xdr:row>107</xdr:row>
      <xdr:rowOff>76199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382C9DE7-32A3-421D-8430-7CCE900A8617}"/>
            </a:ext>
          </a:extLst>
        </xdr:cNvPr>
        <xdr:cNvSpPr txBox="1"/>
      </xdr:nvSpPr>
      <xdr:spPr>
        <a:xfrm>
          <a:off x="609600" y="19150574"/>
          <a:ext cx="8119140" cy="130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Nessa planilha criamos 3 abas com modelos a serem utilizados como base no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preenchimento da Declaração do Imposto sobre a Renda da Pessoa Física (DIRPF), são eles: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Bens e Direitos; Operações Comuns - Day Trade; Operações Fundos Invest. Imob..</a:t>
          </a:r>
        </a:p>
        <a:p>
          <a:endParaRPr lang="pt-BR" sz="1200" b="1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Com as informações presentes em cada uma dessas três abas você vai ter os dados que precisa para realizar o preenchimento adequado da declaração de imposto anual.</a:t>
          </a:r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98</xdr:row>
      <xdr:rowOff>76307</xdr:rowOff>
    </xdr:from>
    <xdr:to>
      <xdr:col>8</xdr:col>
      <xdr:colOff>375077</xdr:colOff>
      <xdr:row>101</xdr:row>
      <xdr:rowOff>51761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9265A533-DE02-40DF-BD74-C3687BAEEC7A}"/>
            </a:ext>
          </a:extLst>
        </xdr:cNvPr>
        <xdr:cNvSpPr txBox="1"/>
      </xdr:nvSpPr>
      <xdr:spPr>
        <a:xfrm>
          <a:off x="609599" y="18745307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AS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ABAS PARA A DIRPF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110</xdr:row>
      <xdr:rowOff>1</xdr:rowOff>
    </xdr:from>
    <xdr:to>
      <xdr:col>15</xdr:col>
      <xdr:colOff>0</xdr:colOff>
      <xdr:row>121</xdr:row>
      <xdr:rowOff>1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934955E-6126-4A2B-9651-FBCCA7615A87}"/>
            </a:ext>
          </a:extLst>
        </xdr:cNvPr>
        <xdr:cNvSpPr/>
      </xdr:nvSpPr>
      <xdr:spPr>
        <a:xfrm>
          <a:off x="0" y="20955001"/>
          <a:ext cx="9144000" cy="209550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20000"/>
                <a:lumOff val="80000"/>
                <a:shade val="30000"/>
                <a:satMod val="115000"/>
              </a:schemeClr>
            </a:gs>
            <a:gs pos="50000">
              <a:schemeClr val="tx2">
                <a:lumMod val="20000"/>
                <a:lumOff val="80000"/>
                <a:shade val="67500"/>
                <a:satMod val="115000"/>
              </a:schemeClr>
            </a:gs>
            <a:gs pos="100000">
              <a:schemeClr val="tx2">
                <a:lumMod val="20000"/>
                <a:lumOff val="80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113</xdr:row>
      <xdr:rowOff>100574</xdr:rowOff>
    </xdr:from>
    <xdr:to>
      <xdr:col>14</xdr:col>
      <xdr:colOff>194340</xdr:colOff>
      <xdr:row>122</xdr:row>
      <xdr:rowOff>57150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12E33400-C744-4B82-9577-D7519493B46E}"/>
            </a:ext>
          </a:extLst>
        </xdr:cNvPr>
        <xdr:cNvSpPr txBox="1"/>
      </xdr:nvSpPr>
      <xdr:spPr>
        <a:xfrm>
          <a:off x="609600" y="21627074"/>
          <a:ext cx="8119140" cy="1671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Na aba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Cotações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temos todos os ativos registrados na planilha e, ao lado, teremos a cotação do último dia disponibilizado pela fórmula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HISTÓRICODEAÇÕES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. 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Se você estiver utilizando a planilha feita para as versões mais antigas do Excel, as cotações são obtidas através de uma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integração com uma planilha do Google Sheets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, na qual obtemos a cotação dos ativos utilizando a fórmula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GOOGLEFINANCE.</a:t>
          </a:r>
          <a:endParaRPr lang="pt-BR" sz="1200" b="1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111</xdr:row>
      <xdr:rowOff>76307</xdr:rowOff>
    </xdr:from>
    <xdr:to>
      <xdr:col>8</xdr:col>
      <xdr:colOff>375077</xdr:colOff>
      <xdr:row>114</xdr:row>
      <xdr:rowOff>51761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A47BADA8-10DD-4D59-93CE-D712730D3FDF}"/>
            </a:ext>
          </a:extLst>
        </xdr:cNvPr>
        <xdr:cNvSpPr txBox="1"/>
      </xdr:nvSpPr>
      <xdr:spPr>
        <a:xfrm>
          <a:off x="609599" y="21221807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</a:t>
          </a:r>
          <a:r>
            <a:rPr lang="pt-BR" sz="1800" b="1" baseline="0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 DE COTAÇÃO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123</xdr:row>
      <xdr:rowOff>0</xdr:rowOff>
    </xdr:from>
    <xdr:to>
      <xdr:col>15</xdr:col>
      <xdr:colOff>0</xdr:colOff>
      <xdr:row>136</xdr:row>
      <xdr:rowOff>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A061C467-E533-4B8C-A470-9E0804FA1D17}"/>
            </a:ext>
          </a:extLst>
        </xdr:cNvPr>
        <xdr:cNvSpPr/>
      </xdr:nvSpPr>
      <xdr:spPr>
        <a:xfrm>
          <a:off x="0" y="23431500"/>
          <a:ext cx="9144000" cy="247650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75000"/>
                <a:shade val="30000"/>
                <a:satMod val="115000"/>
              </a:schemeClr>
            </a:gs>
            <a:gs pos="50000">
              <a:schemeClr val="tx2">
                <a:lumMod val="75000"/>
                <a:shade val="67500"/>
                <a:satMod val="115000"/>
              </a:schemeClr>
            </a:gs>
            <a:gs pos="100000">
              <a:schemeClr val="tx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126</xdr:row>
      <xdr:rowOff>100573</xdr:rowOff>
    </xdr:from>
    <xdr:to>
      <xdr:col>14</xdr:col>
      <xdr:colOff>194340</xdr:colOff>
      <xdr:row>132</xdr:row>
      <xdr:rowOff>95250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9700BA80-A2FA-4EEE-A2E9-D0715D46EC26}"/>
            </a:ext>
          </a:extLst>
        </xdr:cNvPr>
        <xdr:cNvSpPr txBox="1"/>
      </xdr:nvSpPr>
      <xdr:spPr>
        <a:xfrm>
          <a:off x="609600" y="24103573"/>
          <a:ext cx="8119140" cy="11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 aba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Ações Isentas contém todas as ações que, por lei, são isentas de imposto de renda. Essa lista foi atualizada no dia 05/07/2021 e precisará ser atualizada por quem estiver usando a planilha sempre que houver uma alteração/inclusão/exclusão de um ativo dessa lista. Não atualizar essas informações pode acarretar em cálculos de imposto equivocados, portanto é extremamente importante manter essa aba atualizada.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endParaRPr lang="pt-BR" sz="1200" b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124</xdr:row>
      <xdr:rowOff>76306</xdr:rowOff>
    </xdr:from>
    <xdr:to>
      <xdr:col>8</xdr:col>
      <xdr:colOff>375077</xdr:colOff>
      <xdr:row>127</xdr:row>
      <xdr:rowOff>51760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E0B422DC-5EE5-4220-8AE9-03C2561AAD36}"/>
            </a:ext>
          </a:extLst>
        </xdr:cNvPr>
        <xdr:cNvSpPr txBox="1"/>
      </xdr:nvSpPr>
      <xdr:spPr>
        <a:xfrm>
          <a:off x="609599" y="23698306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</a:t>
          </a:r>
          <a:r>
            <a:rPr lang="pt-BR" sz="1800" b="1" baseline="0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 AÇÕES ISENTAS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14</xdr:col>
      <xdr:colOff>194340</xdr:colOff>
      <xdr:row>134</xdr:row>
      <xdr:rowOff>190499</xdr:rowOff>
    </xdr:to>
    <xdr:sp macro="" textlink="">
      <xdr:nvSpPr>
        <xdr:cNvPr id="32" name="CaixaDeText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98C909C-DEC7-4BFC-9A09-D040135BED0D}"/>
            </a:ext>
          </a:extLst>
        </xdr:cNvPr>
        <xdr:cNvSpPr txBox="1"/>
      </xdr:nvSpPr>
      <xdr:spPr>
        <a:xfrm>
          <a:off x="609600" y="25146000"/>
          <a:ext cx="8119140" cy="5714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Clicando aqui você será levado até uma busca atualizada para:</a:t>
          </a:r>
          <a:r>
            <a:rPr lang="pt-BR" sz="1200" b="0" u="sng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</a:t>
          </a:r>
          <a:r>
            <a:rPr lang="pt-BR" sz="1200" b="1" u="sng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"lista</a:t>
          </a:r>
          <a:r>
            <a:rPr lang="pt-BR" sz="1200" b="1" u="sng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de ações isentas de ir"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. 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Sempre utilize a lista que estiver mais atualizada.</a:t>
          </a:r>
          <a:endParaRPr lang="pt-BR" sz="1200" b="1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138</xdr:row>
      <xdr:rowOff>0</xdr:rowOff>
    </xdr:from>
    <xdr:to>
      <xdr:col>15</xdr:col>
      <xdr:colOff>0</xdr:colOff>
      <xdr:row>149</xdr:row>
      <xdr:rowOff>0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DF7B91BB-5667-4F66-8536-E7387EDF2B42}"/>
            </a:ext>
          </a:extLst>
        </xdr:cNvPr>
        <xdr:cNvSpPr/>
      </xdr:nvSpPr>
      <xdr:spPr>
        <a:xfrm>
          <a:off x="0" y="26289000"/>
          <a:ext cx="9144000" cy="2095500"/>
        </a:xfrm>
        <a:prstGeom prst="roundRect">
          <a:avLst>
            <a:gd name="adj" fmla="val 12397"/>
          </a:avLst>
        </a:prstGeom>
        <a:gradFill flip="none" rotWithShape="1">
          <a:gsLst>
            <a:gs pos="0">
              <a:schemeClr val="tx2">
                <a:lumMod val="20000"/>
                <a:lumOff val="80000"/>
                <a:shade val="30000"/>
                <a:satMod val="115000"/>
              </a:schemeClr>
            </a:gs>
            <a:gs pos="50000">
              <a:schemeClr val="tx2">
                <a:lumMod val="20000"/>
                <a:lumOff val="80000"/>
                <a:shade val="67500"/>
                <a:satMod val="115000"/>
              </a:schemeClr>
            </a:gs>
            <a:gs pos="100000">
              <a:schemeClr val="tx2">
                <a:lumMod val="20000"/>
                <a:lumOff val="80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141</xdr:row>
      <xdr:rowOff>62473</xdr:rowOff>
    </xdr:from>
    <xdr:to>
      <xdr:col>14</xdr:col>
      <xdr:colOff>194340</xdr:colOff>
      <xdr:row>149</xdr:row>
      <xdr:rowOff>152400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C8AD528-F003-487E-AD4A-E527F52C7333}"/>
            </a:ext>
          </a:extLst>
        </xdr:cNvPr>
        <xdr:cNvSpPr txBox="1"/>
      </xdr:nvSpPr>
      <xdr:spPr>
        <a:xfrm>
          <a:off x="609600" y="26922973"/>
          <a:ext cx="8119140" cy="16139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As abas </a:t>
          </a:r>
          <a:r>
            <a:rPr lang="pt-BR" sz="1200" b="1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Opções,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Feriados e Empresas Listadas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são abas auxiliares para as fórmulas, ferramentas e macros criadas e utilizadas nessa planilha.</a:t>
          </a:r>
        </a:p>
        <a:p>
          <a:endParaRPr lang="pt-BR" sz="1200" b="0" baseline="0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  <a:p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Para entender melhor a funcionalidade de cada uma delas, lembre de acessar 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Série de Controle para Bolsa de Valores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 ou a </a:t>
          </a:r>
          <a:r>
            <a:rPr lang="pt-BR" sz="1200" b="1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Aula de Apresentação da Planilha de Controle. </a:t>
          </a:r>
          <a:r>
            <a:rPr lang="pt-BR" sz="1200" b="0" baseline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Colocamos os links no começo dessa aba.</a:t>
          </a:r>
          <a:endParaRPr lang="pt-BR" sz="1200" b="1">
            <a:solidFill>
              <a:schemeClr val="bg1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0</xdr:col>
      <xdr:colOff>609599</xdr:colOff>
      <xdr:row>139</xdr:row>
      <xdr:rowOff>38206</xdr:rowOff>
    </xdr:from>
    <xdr:to>
      <xdr:col>8</xdr:col>
      <xdr:colOff>375077</xdr:colOff>
      <xdr:row>142</xdr:row>
      <xdr:rowOff>13660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B6514F1B-1CFB-4BF0-BBE6-DBEFE432B737}"/>
            </a:ext>
          </a:extLst>
        </xdr:cNvPr>
        <xdr:cNvSpPr txBox="1"/>
      </xdr:nvSpPr>
      <xdr:spPr>
        <a:xfrm>
          <a:off x="609599" y="26517706"/>
          <a:ext cx="4642278" cy="5469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 b="0">
              <a:solidFill>
                <a:schemeClr val="bg1"/>
              </a:solidFill>
              <a:latin typeface="Montserrat" panose="02000505000000020004" pitchFamily="2" charset="0"/>
              <a:ea typeface="Roboto" panose="02000000000000000000" pitchFamily="2" charset="0"/>
            </a:rPr>
            <a:t>SOBRE AS </a:t>
          </a:r>
          <a:r>
            <a:rPr lang="pt-BR" sz="1800" b="1">
              <a:solidFill>
                <a:srgbClr val="FFFF00"/>
              </a:solidFill>
              <a:latin typeface="Montserrat" panose="02000505000000020004" pitchFamily="2" charset="0"/>
              <a:ea typeface="Roboto" panose="02000000000000000000" pitchFamily="2" charset="0"/>
            </a:rPr>
            <a:t>ABAS AUXILIARES</a:t>
          </a:r>
          <a:endParaRPr lang="pt-BR" sz="1800" b="0">
            <a:solidFill>
              <a:srgbClr val="FFFF00"/>
            </a:solidFill>
            <a:latin typeface="Montserrat" panose="02000505000000020004" pitchFamily="2" charset="0"/>
            <a:ea typeface="Roboto" panose="0200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15</xdr:col>
      <xdr:colOff>0</xdr:colOff>
      <xdr:row>5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17DC6B6-26C4-4225-9F1D-93F578D56E0E}"/>
            </a:ext>
          </a:extLst>
        </xdr:cNvPr>
        <xdr:cNvSpPr/>
      </xdr:nvSpPr>
      <xdr:spPr>
        <a:xfrm>
          <a:off x="4286250" y="200025"/>
          <a:ext cx="3667125" cy="5715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PAINEL DE MACROS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5</xdr:col>
      <xdr:colOff>0</xdr:colOff>
      <xdr:row>13</xdr:row>
      <xdr:rowOff>0</xdr:rowOff>
    </xdr:to>
    <xdr:sp macro="[0]!incluir_not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AEDB451-8906-4926-B428-27D01197B6CE}"/>
            </a:ext>
          </a:extLst>
        </xdr:cNvPr>
        <xdr:cNvSpPr/>
      </xdr:nvSpPr>
      <xdr:spPr>
        <a:xfrm>
          <a:off x="476250" y="134302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Incluir</a:t>
          </a:r>
          <a:r>
            <a:rPr lang="pt-BR" sz="2400" b="1" baseline="0">
              <a:solidFill>
                <a:schemeClr val="tx2">
                  <a:lumMod val="50000"/>
                </a:schemeClr>
              </a:solidFill>
            </a:rPr>
            <a:t> Notas</a:t>
          </a:r>
          <a:endParaRPr lang="pt-BR" sz="24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9</xdr:col>
      <xdr:colOff>0</xdr:colOff>
      <xdr:row>13</xdr:row>
      <xdr:rowOff>0</xdr:rowOff>
    </xdr:to>
    <xdr:sp macro="[0]!excluir_nota_i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697AC2-BB5F-43F3-806A-FD0025F49C41}"/>
            </a:ext>
          </a:extLst>
        </xdr:cNvPr>
        <xdr:cNvSpPr/>
      </xdr:nvSpPr>
      <xdr:spPr>
        <a:xfrm>
          <a:off x="2828925" y="134302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Excluir</a:t>
          </a:r>
          <a:r>
            <a:rPr lang="pt-BR" sz="2400" b="1" baseline="0">
              <a:solidFill>
                <a:schemeClr val="tx2">
                  <a:lumMod val="50000"/>
                </a:schemeClr>
              </a:solidFill>
            </a:rPr>
            <a:t> Nota/ID</a:t>
          </a:r>
          <a:endParaRPr lang="pt-BR" sz="24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13</xdr:col>
      <xdr:colOff>0</xdr:colOff>
      <xdr:row>13</xdr:row>
      <xdr:rowOff>0</xdr:rowOff>
    </xdr:to>
    <xdr:sp macro="[0]!preenchendo_taxa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47FDEE2-BBD5-40EF-A1B7-732B58CEA4E4}"/>
            </a:ext>
          </a:extLst>
        </xdr:cNvPr>
        <xdr:cNvSpPr/>
      </xdr:nvSpPr>
      <xdr:spPr>
        <a:xfrm>
          <a:off x="5181600" y="134302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Distribuir Taxas</a:t>
          </a:r>
        </a:p>
      </xdr:txBody>
    </xdr:sp>
    <xdr:clientData/>
  </xdr:twoCellAnchor>
  <xdr:twoCellAnchor>
    <xdr:from>
      <xdr:col>14</xdr:col>
      <xdr:colOff>0</xdr:colOff>
      <xdr:row>8</xdr:row>
      <xdr:rowOff>0</xdr:rowOff>
    </xdr:from>
    <xdr:to>
      <xdr:col>17</xdr:col>
      <xdr:colOff>0</xdr:colOff>
      <xdr:row>13</xdr:row>
      <xdr:rowOff>0</xdr:rowOff>
    </xdr:to>
    <xdr:sp macro="[0]!ip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A9565B-BE94-4677-9E0D-2D69D43E8B78}"/>
            </a:ext>
          </a:extLst>
        </xdr:cNvPr>
        <xdr:cNvSpPr/>
      </xdr:nvSpPr>
      <xdr:spPr>
        <a:xfrm>
          <a:off x="7534275" y="134302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IPO</a:t>
          </a:r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21</xdr:col>
      <xdr:colOff>0</xdr:colOff>
      <xdr:row>13</xdr:row>
      <xdr:rowOff>0</xdr:rowOff>
    </xdr:to>
    <xdr:sp macro="[0]!subscrica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37EB874-7621-4107-A9A2-5A303DDA76F3}"/>
            </a:ext>
          </a:extLst>
        </xdr:cNvPr>
        <xdr:cNvSpPr/>
      </xdr:nvSpPr>
      <xdr:spPr>
        <a:xfrm>
          <a:off x="9886950" y="134302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Subscrição</a:t>
          </a:r>
        </a:p>
      </xdr:txBody>
    </xdr:sp>
    <xdr:clientData/>
  </xdr:twoCellAnchor>
  <xdr:twoCellAnchor>
    <xdr:from>
      <xdr:col>2</xdr:col>
      <xdr:colOff>0</xdr:colOff>
      <xdr:row>14</xdr:row>
      <xdr:rowOff>171450</xdr:rowOff>
    </xdr:from>
    <xdr:to>
      <xdr:col>5</xdr:col>
      <xdr:colOff>0</xdr:colOff>
      <xdr:row>19</xdr:row>
      <xdr:rowOff>171450</xdr:rowOff>
    </xdr:to>
    <xdr:sp macro="[0]!bonificaca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4C22319-2BCA-4C5D-8803-B5B3C0246E13}"/>
            </a:ext>
          </a:extLst>
        </xdr:cNvPr>
        <xdr:cNvSpPr/>
      </xdr:nvSpPr>
      <xdr:spPr>
        <a:xfrm>
          <a:off x="619125" y="265747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Bonificação</a:t>
          </a:r>
        </a:p>
      </xdr:txBody>
    </xdr:sp>
    <xdr:clientData/>
  </xdr:twoCellAnchor>
  <xdr:twoCellAnchor>
    <xdr:from>
      <xdr:col>6</xdr:col>
      <xdr:colOff>0</xdr:colOff>
      <xdr:row>14</xdr:row>
      <xdr:rowOff>171450</xdr:rowOff>
    </xdr:from>
    <xdr:to>
      <xdr:col>9</xdr:col>
      <xdr:colOff>0</xdr:colOff>
      <xdr:row>19</xdr:row>
      <xdr:rowOff>171450</xdr:rowOff>
    </xdr:to>
    <xdr:sp macro="[0]!split_inplit_v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3632690-1563-4FA1-B502-89A69A08E486}"/>
            </a:ext>
          </a:extLst>
        </xdr:cNvPr>
        <xdr:cNvSpPr/>
      </xdr:nvSpPr>
      <xdr:spPr>
        <a:xfrm>
          <a:off x="2819400" y="265747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Split/Inplit</a:t>
          </a:r>
        </a:p>
      </xdr:txBody>
    </xdr:sp>
    <xdr:clientData/>
  </xdr:twoCellAnchor>
  <xdr:twoCellAnchor>
    <xdr:from>
      <xdr:col>10</xdr:col>
      <xdr:colOff>0</xdr:colOff>
      <xdr:row>14</xdr:row>
      <xdr:rowOff>171450</xdr:rowOff>
    </xdr:from>
    <xdr:to>
      <xdr:col>13</xdr:col>
      <xdr:colOff>0</xdr:colOff>
      <xdr:row>19</xdr:row>
      <xdr:rowOff>171450</xdr:rowOff>
    </xdr:to>
    <xdr:sp macro="[0]!mudanca_ticke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D4F2935-372E-48C0-8377-B8A5C51AC44B}"/>
            </a:ext>
          </a:extLst>
        </xdr:cNvPr>
        <xdr:cNvSpPr/>
      </xdr:nvSpPr>
      <xdr:spPr>
        <a:xfrm>
          <a:off x="5019675" y="265747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tx2">
                  <a:lumMod val="50000"/>
                </a:schemeClr>
              </a:solidFill>
            </a:rPr>
            <a:t>Mudança de Ticker</a:t>
          </a:r>
        </a:p>
      </xdr:txBody>
    </xdr:sp>
    <xdr:clientData/>
  </xdr:twoCellAnchor>
  <xdr:twoCellAnchor>
    <xdr:from>
      <xdr:col>14</xdr:col>
      <xdr:colOff>0</xdr:colOff>
      <xdr:row>14</xdr:row>
      <xdr:rowOff>171450</xdr:rowOff>
    </xdr:from>
    <xdr:to>
      <xdr:col>17</xdr:col>
      <xdr:colOff>0</xdr:colOff>
      <xdr:row>19</xdr:row>
      <xdr:rowOff>171450</xdr:rowOff>
    </xdr:to>
    <xdr:sp macro="[0]!organiza_movimentacoe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A3CF175F-4DE8-4EB2-A1B4-F594439DD4BA}"/>
            </a:ext>
          </a:extLst>
        </xdr:cNvPr>
        <xdr:cNvSpPr/>
      </xdr:nvSpPr>
      <xdr:spPr>
        <a:xfrm>
          <a:off x="7219950" y="265747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200" b="1">
              <a:solidFill>
                <a:schemeClr val="tx2">
                  <a:lumMod val="50000"/>
                </a:schemeClr>
              </a:solidFill>
            </a:rPr>
            <a:t>Organizar Movimentações</a:t>
          </a:r>
        </a:p>
      </xdr:txBody>
    </xdr:sp>
    <xdr:clientData/>
  </xdr:twoCellAnchor>
  <xdr:twoCellAnchor>
    <xdr:from>
      <xdr:col>18</xdr:col>
      <xdr:colOff>0</xdr:colOff>
      <xdr:row>14</xdr:row>
      <xdr:rowOff>171450</xdr:rowOff>
    </xdr:from>
    <xdr:to>
      <xdr:col>21</xdr:col>
      <xdr:colOff>0</xdr:colOff>
      <xdr:row>19</xdr:row>
      <xdr:rowOff>171450</xdr:rowOff>
    </xdr:to>
    <xdr:sp macro="[0]!aporte_retirada_prov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96A0D4E-9459-416F-B7D6-9591A4E81763}"/>
            </a:ext>
          </a:extLst>
        </xdr:cNvPr>
        <xdr:cNvSpPr/>
      </xdr:nvSpPr>
      <xdr:spPr>
        <a:xfrm>
          <a:off x="9420225" y="2657475"/>
          <a:ext cx="2200275" cy="9525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100" b="1">
              <a:solidFill>
                <a:schemeClr val="tx2">
                  <a:lumMod val="50000"/>
                </a:schemeClr>
              </a:solidFill>
            </a:rPr>
            <a:t>Aporte, Retirada e Provento</a:t>
          </a:r>
        </a:p>
      </xdr:txBody>
    </xdr:sp>
    <xdr:clientData/>
  </xdr:twoCellAnchor>
  <xdr:twoCellAnchor>
    <xdr:from>
      <xdr:col>6</xdr:col>
      <xdr:colOff>581025</xdr:colOff>
      <xdr:row>6</xdr:row>
      <xdr:rowOff>9525</xdr:rowOff>
    </xdr:from>
    <xdr:to>
      <xdr:col>9</xdr:col>
      <xdr:colOff>0</xdr:colOff>
      <xdr:row>7</xdr:row>
      <xdr:rowOff>0</xdr:rowOff>
    </xdr:to>
    <xdr:sp macro="" textlink="">
      <xdr:nvSpPr>
        <xdr:cNvPr id="16" name="Retângulo: Cantos Arredondado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5CAAC9-A4E2-4254-A6BB-DFE4303B6151}"/>
            </a:ext>
          </a:extLst>
        </xdr:cNvPr>
        <xdr:cNvSpPr/>
      </xdr:nvSpPr>
      <xdr:spPr>
        <a:xfrm>
          <a:off x="3409950" y="971550"/>
          <a:ext cx="1619250" cy="1809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50000"/>
                </a:schemeClr>
              </a:solidFill>
            </a:rPr>
            <a:t>Notas</a:t>
          </a:r>
        </a:p>
      </xdr:txBody>
    </xdr:sp>
    <xdr:clientData/>
  </xdr:twoCellAnchor>
  <xdr:twoCellAnchor>
    <xdr:from>
      <xdr:col>10</xdr:col>
      <xdr:colOff>266700</xdr:colOff>
      <xdr:row>6</xdr:row>
      <xdr:rowOff>23812</xdr:rowOff>
    </xdr:from>
    <xdr:to>
      <xdr:col>12</xdr:col>
      <xdr:colOff>419100</xdr:colOff>
      <xdr:row>7</xdr:row>
      <xdr:rowOff>14287</xdr:rowOff>
    </xdr:to>
    <xdr:sp macro="" textlink="">
      <xdr:nvSpPr>
        <xdr:cNvPr id="17" name="Retângulo: Cantos Arredondados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074317-6A5D-49DE-A14A-C7542C27E091}"/>
            </a:ext>
          </a:extLst>
        </xdr:cNvPr>
        <xdr:cNvSpPr/>
      </xdr:nvSpPr>
      <xdr:spPr>
        <a:xfrm>
          <a:off x="5448300" y="985837"/>
          <a:ext cx="1619250" cy="1809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50000"/>
                </a:schemeClr>
              </a:solidFill>
            </a:rPr>
            <a:t>Notas Day Trade</a:t>
          </a:r>
        </a:p>
      </xdr:txBody>
    </xdr:sp>
    <xdr:clientData/>
  </xdr:twoCellAnchor>
  <xdr:twoCellAnchor>
    <xdr:from>
      <xdr:col>13</xdr:col>
      <xdr:colOff>104775</xdr:colOff>
      <xdr:row>6</xdr:row>
      <xdr:rowOff>14287</xdr:rowOff>
    </xdr:from>
    <xdr:to>
      <xdr:col>16</xdr:col>
      <xdr:colOff>104775</xdr:colOff>
      <xdr:row>7</xdr:row>
      <xdr:rowOff>4762</xdr:rowOff>
    </xdr:to>
    <xdr:sp macro="" textlink="">
      <xdr:nvSpPr>
        <xdr:cNvPr id="18" name="Retângulo: Cantos Arredondados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4F6094-D0CC-4980-B65B-EF0237F110B6}"/>
            </a:ext>
          </a:extLst>
        </xdr:cNvPr>
        <xdr:cNvSpPr/>
      </xdr:nvSpPr>
      <xdr:spPr>
        <a:xfrm>
          <a:off x="7486650" y="976312"/>
          <a:ext cx="1619250" cy="1809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50000"/>
                </a:schemeClr>
              </a:solidFill>
            </a:rPr>
            <a:t>Movimentações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19050</xdr:rowOff>
    </xdr:from>
    <xdr:to>
      <xdr:col>0</xdr:col>
      <xdr:colOff>695325</xdr:colOff>
      <xdr:row>0</xdr:row>
      <xdr:rowOff>161925</xdr:rowOff>
    </xdr:to>
    <xdr:sp macro="" textlink="">
      <xdr:nvSpPr>
        <xdr:cNvPr id="7" name="Seta: Curva para a Esquerda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A4D7FE-DAD1-4AD8-9914-C203EABCB677}"/>
            </a:ext>
          </a:extLst>
        </xdr:cNvPr>
        <xdr:cNvSpPr/>
      </xdr:nvSpPr>
      <xdr:spPr>
        <a:xfrm>
          <a:off x="533400" y="19050"/>
          <a:ext cx="161925" cy="142875"/>
        </a:xfrm>
        <a:prstGeom prst="curvedLeftArrow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0</xdr:row>
      <xdr:rowOff>28575</xdr:rowOff>
    </xdr:from>
    <xdr:to>
      <xdr:col>0</xdr:col>
      <xdr:colOff>685800</xdr:colOff>
      <xdr:row>0</xdr:row>
      <xdr:rowOff>171450</xdr:rowOff>
    </xdr:to>
    <xdr:sp macro="" textlink="">
      <xdr:nvSpPr>
        <xdr:cNvPr id="3" name="Seta: Curva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B18625-B2A3-4AC4-A105-BFE05EFCD061}"/>
            </a:ext>
          </a:extLst>
        </xdr:cNvPr>
        <xdr:cNvSpPr/>
      </xdr:nvSpPr>
      <xdr:spPr>
        <a:xfrm>
          <a:off x="523875" y="28575"/>
          <a:ext cx="161925" cy="142875"/>
        </a:xfrm>
        <a:prstGeom prst="curvedLeftArrow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104774</xdr:colOff>
      <xdr:row>0</xdr:row>
      <xdr:rowOff>28575</xdr:rowOff>
    </xdr:from>
    <xdr:to>
      <xdr:col>2</xdr:col>
      <xdr:colOff>266699</xdr:colOff>
      <xdr:row>0</xdr:row>
      <xdr:rowOff>171450</xdr:rowOff>
    </xdr:to>
    <xdr:sp macro="" textlink="">
      <xdr:nvSpPr>
        <xdr:cNvPr id="3" name="Seta: Curva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317DF2-356B-457C-ABDF-226EF6849DBA}"/>
            </a:ext>
          </a:extLst>
        </xdr:cNvPr>
        <xdr:cNvSpPr/>
      </xdr:nvSpPr>
      <xdr:spPr>
        <a:xfrm>
          <a:off x="1314449" y="28575"/>
          <a:ext cx="161925" cy="142875"/>
        </a:xfrm>
        <a:prstGeom prst="curvedLeftArrow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2</xdr:row>
      <xdr:rowOff>0</xdr:rowOff>
    </xdr:from>
    <xdr:to>
      <xdr:col>39</xdr:col>
      <xdr:colOff>219074</xdr:colOff>
      <xdr:row>18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89A8CD-7E36-427F-B77B-FC5A46D6C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57150</xdr:colOff>
      <xdr:row>2</xdr:row>
      <xdr:rowOff>9525</xdr:rowOff>
    </xdr:from>
    <xdr:to>
      <xdr:col>32</xdr:col>
      <xdr:colOff>0</xdr:colOff>
      <xdr:row>17</xdr:row>
      <xdr:rowOff>170089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D3D4968-376F-46D4-8FEB-C386FF79D9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2</xdr:row>
      <xdr:rowOff>0</xdr:rowOff>
    </xdr:from>
    <xdr:to>
      <xdr:col>48</xdr:col>
      <xdr:colOff>0</xdr:colOff>
      <xdr:row>18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ABBBB7-B54B-493D-949A-FD42246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fb>66.099999999999994</fb>
    <v>0</v>
  </rv>
  <rv s="0">
    <fb>142.75</fb>
    <v>0</v>
  </rv>
  <rv s="0">
    <fb>169.78</fb>
    <v>0</v>
  </rv>
  <rv s="1">
    <v>10</v>
    <v>9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64" formatCode="_-[$R$-416]\ * #,##0.00_-;\-[$R$-416]\ * #,##0.00_-;_-[$R$-416]\ * &quot;-&quot;??_-;_-@_-"/>
    </x:dxf>
  </dxfs>
  <richStyles>
    <rSty dxfid="0"/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8F96DF-1F00-4208-832D-FEC6E1F5E7A3}" name="TabelaNotas" displayName="TabelaNotas" ref="A1:Y28" totalsRowShown="0" headerRowDxfId="140" dataDxfId="139">
  <autoFilter ref="A1:Y28" xr:uid="{18FAA947-BFEC-440D-9F12-55C6D9452486}"/>
  <tableColumns count="25">
    <tableColumn id="24" xr3:uid="{F1E563FC-779F-4866-A547-986B62CE7C16}" name="Incluída" dataDxfId="138" dataCellStyle="Moeda"/>
    <tableColumn id="25" xr3:uid="{D24B30D3-BCD0-4995-92B6-8E4D65429ACB}" name="ID" dataDxfId="137" dataCellStyle="Moeda"/>
    <tableColumn id="1" xr3:uid="{9FE5B8BC-31EF-47AC-A710-50E6A503EF85}" name="Nota" dataDxfId="136"/>
    <tableColumn id="2" xr3:uid="{AFC4B9A6-B663-47FC-B10C-DB4D7A041D52}" name="Corretora" dataDxfId="135"/>
    <tableColumn id="3" xr3:uid="{476E5792-89A2-4B70-B07B-CE15FAD0AEDC}" name="Data Pregão" dataDxfId="134"/>
    <tableColumn id="4" xr3:uid="{641B6CD8-0BF2-4BC6-BF64-F0BB8C9CC515}" name="Data Liquidação" dataDxfId="133"/>
    <tableColumn id="5" xr3:uid="{CCCA30CE-7EAA-4A19-9D96-27D7F7F96937}" name="C/V" dataDxfId="132"/>
    <tableColumn id="6" xr3:uid="{FE89CD2D-4195-4F3F-93C9-1109F82F5183}" name="Tipo" dataDxfId="131"/>
    <tableColumn id="7" xr3:uid="{34C95F61-2C33-4452-A1ED-626285600F24}" name="Ticker" dataDxfId="130"/>
    <tableColumn id="8" xr3:uid="{DDB266FC-2DAB-46B8-A44D-353CC716406A}" name="Quantidade" dataDxfId="129"/>
    <tableColumn id="9" xr3:uid="{72256E8A-98CC-4B6F-B0F8-1A95061EA026}" name="Preço" dataDxfId="128" dataCellStyle="Moeda"/>
    <tableColumn id="10" xr3:uid="{BBDC13F2-C8CE-4410-A5BE-8019DFD84BEB}" name="Valor Operação" dataDxfId="127" dataCellStyle="Moeda">
      <calculatedColumnFormula>TabelaNotas[[#This Row],[Preço]]*TabelaNotas[[#This Row],[Quantidade]]</calculatedColumnFormula>
    </tableColumn>
    <tableColumn id="11" xr3:uid="{9E99B632-4E98-46D3-BF95-28BBE39D3F24}" name="Taxas" dataDxfId="126" dataCellStyle="Moeda">
      <calculatedColumnFormula>SUM(TabelaNotas[[#This Row],[Taxa Liquidação]:[Outros]])</calculatedColumnFormula>
    </tableColumn>
    <tableColumn id="12" xr3:uid="{F75CAFE7-81B3-4DE3-BC30-42D45813C49A}" name="Valor Liquido" dataDxfId="125" dataCellStyle="Moeda">
      <calculatedColumnFormula>IF(TabelaNotas[[#This Row],[C/V]]="C",SUM(TabelaNotas[[#This Row],[Valor Operação]:[Taxas]]),TabelaNotas[[#This Row],[Valor Operação]]-TabelaNotas[[#This Row],[Taxas]])</calculatedColumnFormula>
    </tableColumn>
    <tableColumn id="13" xr3:uid="{D33D184C-6768-4B8A-92EF-A1D43B3BA5CC}" name="I.R.R.F." dataDxfId="124" dataCellStyle="Moeda"/>
    <tableColumn id="14" xr3:uid="{6E0CEEF9-45BF-49B5-9A5B-CD61DDD45370}" name="Taxa Liquidação" dataDxfId="123" dataCellStyle="Moeda"/>
    <tableColumn id="15" xr3:uid="{121CBE24-4366-42A7-A484-87734674AE5B}" name="Taxa Registro" dataDxfId="122" dataCellStyle="Moeda"/>
    <tableColumn id="16" xr3:uid="{A04E8D9D-AC6B-4EBD-AA5D-E8CFA7B280EB}" name="Taxa Termo/Opções" dataDxfId="121" dataCellStyle="Moeda"/>
    <tableColumn id="17" xr3:uid="{EA1C24F7-1FA3-4057-95A3-3967EA0E83B2}" name="Taxa A.N.A." dataDxfId="120" dataCellStyle="Moeda"/>
    <tableColumn id="18" xr3:uid="{68A5771A-1713-4C34-B6A8-3953259D774F}" name="Emolumentos" dataDxfId="119" dataCellStyle="Moeda"/>
    <tableColumn id="19" xr3:uid="{BA9DD0B5-C3C8-4E0D-A221-26BAB5B4FC7B}" name="Taxa Operacional" dataDxfId="118" dataCellStyle="Moeda"/>
    <tableColumn id="20" xr3:uid="{0D6055CB-C17F-4EFF-BDA1-97EC0A47A259}" name="Taxa Execução" dataDxfId="117" dataCellStyle="Moeda"/>
    <tableColumn id="21" xr3:uid="{80EC75A0-28C9-4BA9-A655-1F379B886296}" name="Taxa Custódia" dataDxfId="116" dataCellStyle="Moeda"/>
    <tableColumn id="22" xr3:uid="{CB711165-E850-4D82-BB67-A3FDED2EDCE8}" name="Impostos" dataDxfId="115" dataCellStyle="Moeda"/>
    <tableColumn id="23" xr3:uid="{D7CAC477-4FC5-4A3D-9130-636EFAF88BC1}" name="Outros" dataDxfId="114" dataCellStyle="Moeda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F0557F-EBB0-4A2C-8348-3C47AB915FE4}" name="TabelaNotasDayTrade" displayName="TabelaNotasDayTrade" ref="A1:Y9" totalsRowShown="0" headerRowDxfId="113" dataDxfId="112" dataCellStyle="Moeda">
  <autoFilter ref="A1:Y9" xr:uid="{18FAA947-BFEC-440D-9F12-55C6D9452486}"/>
  <tableColumns count="25">
    <tableColumn id="24" xr3:uid="{8C89BBED-A297-4A57-B44B-3971CD0B5B58}" name="Incluída" dataDxfId="111" dataCellStyle="Moeda"/>
    <tableColumn id="25" xr3:uid="{8A472ADC-0790-423F-B762-39005B671797}" name="ID" dataDxfId="110" dataCellStyle="Moeda"/>
    <tableColumn id="1" xr3:uid="{512803D1-4220-4CB2-A64F-8D9613D975A2}" name="Nota" dataDxfId="109"/>
    <tableColumn id="2" xr3:uid="{939B969C-D423-4B78-B2E9-68E7AA90ACCB}" name="Corretora" dataDxfId="108"/>
    <tableColumn id="3" xr3:uid="{5E19428C-F658-40ED-94F6-59A6F1D20B64}" name="Data Pregão" dataDxfId="107"/>
    <tableColumn id="4" xr3:uid="{88141100-9BAD-4202-9CCE-48417F6740E5}" name="Data Liquidação" dataDxfId="106"/>
    <tableColumn id="5" xr3:uid="{0E371727-C8D5-4693-8945-D07FB6B7EFC9}" name="C/V" dataDxfId="105"/>
    <tableColumn id="6" xr3:uid="{D69769FA-2E4A-491F-912C-6AC496D27BF8}" name="Tipo" dataDxfId="104"/>
    <tableColumn id="7" xr3:uid="{11A7A326-44DE-48FE-A49C-83C69E249E10}" name="Ticker" dataDxfId="103"/>
    <tableColumn id="8" xr3:uid="{0C952C90-F92E-4763-8625-B5433789B6DA}" name="Quantidade" dataDxfId="102"/>
    <tableColumn id="9" xr3:uid="{A86C1DCF-3ADA-434A-B97A-4E27E70D3C95}" name="Preço" dataDxfId="101" dataCellStyle="Moeda"/>
    <tableColumn id="10" xr3:uid="{55B821FC-C83C-43BD-BF0B-468B9FBC852A}" name="Valor Operação" dataDxfId="100" dataCellStyle="Moeda">
      <calculatedColumnFormula>TabelaNotasDayTrade[[#This Row],[Preço]]*TabelaNotasDayTrade[[#This Row],[Quantidade]]</calculatedColumnFormula>
    </tableColumn>
    <tableColumn id="11" xr3:uid="{D6C77203-6963-47C1-8FD5-3BFD94683490}" name="Taxas" dataDxfId="99" dataCellStyle="Moeda">
      <calculatedColumnFormula>SUM(TabelaNotasDayTrade[[#This Row],[Taxa Liquidação]:[Outros]])</calculatedColumnFormula>
    </tableColumn>
    <tableColumn id="12" xr3:uid="{49B9AC44-2268-4B85-8B31-16C3B7A43C22}" name="Valor Liquido" dataDxfId="98" dataCellStyle="Moeda">
      <calculatedColumnFormula>IF(TabelaNotasDayTrade[[#This Row],[C/V]]="C",SUM(TabelaNotasDayTrade[[#This Row],[Valor Operação]:[Taxas]]),TabelaNotasDayTrade[[#This Row],[Valor Operação]]-TabelaNotasDayTrade[[#This Row],[Taxas]])</calculatedColumnFormula>
    </tableColumn>
    <tableColumn id="13" xr3:uid="{2AA395D3-44DE-4CB8-B6E6-C4B7C1CF3185}" name="I.R.R.F." dataDxfId="97" dataCellStyle="Moeda"/>
    <tableColumn id="14" xr3:uid="{513E492A-1B33-4C10-9E34-38C557F68164}" name="Taxa Liquidação" dataDxfId="96" dataCellStyle="Moeda"/>
    <tableColumn id="15" xr3:uid="{22FB5FBA-5BA4-4102-A4D1-356BC7D7F344}" name="Taxa Registro" dataDxfId="95" dataCellStyle="Moeda"/>
    <tableColumn id="16" xr3:uid="{DB227C80-B281-4AEF-9DD6-310F5B0E291F}" name="Taxa Termo/Opções" dataDxfId="94" dataCellStyle="Moeda"/>
    <tableColumn id="17" xr3:uid="{D8FC486A-C4F8-4392-AA9E-CB1C5F18DA2B}" name="Taxa A.N.A." dataDxfId="93" dataCellStyle="Moeda"/>
    <tableColumn id="18" xr3:uid="{AB1F07D5-139D-4F46-9860-547E8C3B6BFF}" name="Emolumentos" dataDxfId="92" dataCellStyle="Moeda"/>
    <tableColumn id="19" xr3:uid="{35087183-8DD9-4452-BD8F-D0702C319C00}" name="Taxa Operacional" dataDxfId="91" dataCellStyle="Moeda"/>
    <tableColumn id="20" xr3:uid="{DA3566A5-B0D3-4177-9245-0CCD0E429E39}" name="Taxa Execução" dataDxfId="90" dataCellStyle="Moeda"/>
    <tableColumn id="21" xr3:uid="{015F1702-C5E6-4CD1-9596-2D21A6638A79}" name="Taxa Custódia" dataDxfId="89" dataCellStyle="Moeda"/>
    <tableColumn id="22" xr3:uid="{2A2847E5-A095-4516-83D6-03A1CA607946}" name="Impostos" dataDxfId="88" dataCellStyle="Moeda"/>
    <tableColumn id="23" xr3:uid="{2CE9F02B-3166-4DE8-BEA6-C6D856E8DF50}" name="Outros" dataDxfId="87" dataCellStyle="Moeda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2CFF63-B473-4621-9565-210DBB6D2223}" name="TabelaMovimentacoes" displayName="TabelaMovimentacoes" ref="A3:I81" totalsRowShown="0" headerRowDxfId="86" dataDxfId="85">
  <autoFilter ref="A3:I81" xr:uid="{D005E6D1-97A0-4CC9-9869-F0EC118242A7}"/>
  <sortState xmlns:xlrd2="http://schemas.microsoft.com/office/spreadsheetml/2017/richdata2" ref="A4:I81">
    <sortCondition ref="C3:C81"/>
  </sortState>
  <tableColumns count="9">
    <tableColumn id="1" xr3:uid="{8621C9F2-C373-431B-9AFE-C9F05B2963E1}" name="ID" dataDxfId="84"/>
    <tableColumn id="2" xr3:uid="{DE5C4041-540A-4FB2-A502-91CC5526B362}" name="Conta" dataDxfId="83"/>
    <tableColumn id="3" xr3:uid="{86D93A7D-EB29-4A7C-803D-C57245B1EBBB}" name="Data Pregão" dataDxfId="82"/>
    <tableColumn id="4" xr3:uid="{23BB0A83-EE31-4800-871B-ED0F9E70D2DF}" name="Data Liquidação" dataDxfId="81"/>
    <tableColumn id="5" xr3:uid="{06F31144-940A-47AE-BCF3-AB8C682A4E01}" name="Descrição" dataDxfId="80"/>
    <tableColumn id="6" xr3:uid="{ACFBAD8F-2BCA-4ECF-B6B8-AE49CF9CD046}" name="Tipo" dataDxfId="79"/>
    <tableColumn id="7" xr3:uid="{869AABC3-E81E-4739-8D6B-56DC7FF28BFC}" name="Quantidade" dataDxfId="78"/>
    <tableColumn id="8" xr3:uid="{4AC42C4B-4F21-4961-A2C2-D971DC73FE76}" name="Valor" dataDxfId="77" dataCellStyle="Moeda"/>
    <tableColumn id="9" xr3:uid="{DC8F667A-EF54-4424-9DEC-0B9CA4A66498}" name="OBS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07F122-5B1A-4994-AD30-DC429E08CB8E}" name="TabelaIR" displayName="TabelaIR" ref="A1:Q25" totalsRowShown="0" headerRowDxfId="64" tableBorderDxfId="63" headerRowCellStyle="Moeda">
  <autoFilter ref="A1:Q25" xr:uid="{5107F122-5B1A-4994-AD30-DC429E08CB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6151FE7C-4C6C-41F0-842C-5844F011B665}" name="Mês" dataDxfId="62">
      <calculatedColumnFormula>EDATE(A1,1)</calculatedColumnFormula>
    </tableColumn>
    <tableColumn id="2" xr3:uid="{18CCD7CE-0343-48A6-9978-FC991B3BCA79}" name="Alienações" dataDxfId="61" dataCellStyle="Moeda">
      <calculatedColumnFormula array="1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calculatedColumnFormula>
    </tableColumn>
    <tableColumn id="3" xr3:uid="{964A3102-8024-4FFD-B534-8750FA4221E7}" name="Resultado Ação" dataDxfId="60" dataCellStyle="Moeda">
      <calculatedColumnFormula array="1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calculatedColumnFormula>
    </tableColumn>
    <tableColumn id="4" xr3:uid="{5E100B2D-D719-4060-A33F-BB41B63CD289}" name="Resultado ETF" dataDxfId="59" dataCellStyle="Moeda">
      <calculatedColumnFormula>SUMIFS(TabelaMovimentacoes[Valor],TabelaMovimentacoes[Tipo],"Resultado ETF",TabelaMovimentacoes[Data Pregão],"&gt;="&amp;TabelaIR[[#This Row],[Mês]],TabelaMovimentacoes[Data Pregão],"&lt;="&amp;EOMONTH(TabelaIR[[#This Row],[Mês]],0))</calculatedColumnFormula>
    </tableColumn>
    <tableColumn id="5" xr3:uid="{286EE61F-2C43-41BD-B37D-AE20B03F28F4}" name="Resultado BDR" dataDxfId="58" dataCellStyle="Moeda">
      <calculatedColumnFormula>SUMIFS(TabelaMovimentacoes[Valor],TabelaMovimentacoes[Tipo],"Resultado BDR",TabelaMovimentacoes[Data Pregão],"&gt;="&amp;TabelaIR[[#This Row],[Mês]],TabelaMovimentacoes[Data Pregão],"&lt;="&amp;EOMONTH(TabelaIR[[#This Row],[Mês]],0))</calculatedColumnFormula>
    </tableColumn>
    <tableColumn id="6" xr3:uid="{74F0E1D3-1016-4769-984A-807A0115D11E}" name="Resultado Futuro" dataDxfId="57" dataCellStyle="Moeda">
      <calculatedColumnFormula>SUMIFS(TabelaMovimentacoes[Valor],TabelaMovimentacoes[Tipo],"Resultado Futuro",TabelaMovimentacoes[Data Pregão],"&gt;="&amp;TabelaIR[[#This Row],[Mês]],TabelaMovimentacoes[Data Pregão],"&lt;="&amp;EOMONTH(TabelaIR[[#This Row],[Mês]],0))</calculatedColumnFormula>
    </tableColumn>
    <tableColumn id="17" xr3:uid="{52A976F5-2EF1-4388-BF7E-4D51BB802A0A}" name="Resultado Termo" dataDxfId="56" dataCellStyle="Moeda">
      <calculatedColumnFormula>SUMIFS(TabelaMovimentacoes[Valor],TabelaMovimentacoes[Tipo],"Resultado Termo",TabelaMovimentacoes[Data Pregão],"&gt;="&amp;TabelaIR[[#This Row],[Mês]],TabelaMovimentacoes[Data Pregão],"&lt;="&amp;EOMONTH(TabelaIR[[#This Row],[Mês]],0))</calculatedColumnFormula>
    </tableColumn>
    <tableColumn id="16" xr3:uid="{8C331709-3BF2-4F5C-8103-42A7F4DEE61B}" name="Resultado Opção" dataDxfId="55" dataCellStyle="Moeda">
      <calculatedColumnFormula>SUMIFS(TabelaMovimentacoes[Valor],TabelaMovimentacoes[Tipo],"Resultado Opção",TabelaMovimentacoes[Data Pregão],"&gt;="&amp;TabelaIR[[#This Row],[Mês]],TabelaMovimentacoes[Data Pregão],"&lt;="&amp;EOMONTH(TabelaIR[[#This Row],[Mês]],0))</calculatedColumnFormula>
    </tableColumn>
    <tableColumn id="7" xr3:uid="{D0DA6DDA-BBDE-4B55-8367-BA64EF0863BF}" name="Lucro Isento" dataDxfId="54" dataCellStyle="Moeda">
      <calculatedColumnFormula array="1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calculatedColumnFormula>
    </tableColumn>
    <tableColumn id="8" xr3:uid="{120A2BBD-B1C6-438C-8A49-2212935A94AD}" name="Resultado Total" dataDxfId="53" dataCellStyle="Moeda">
      <calculatedColumnFormula>SUM(TabelaIR[[#This Row],[Resultado Ação]:[Resultado Opção]])-TabelaIR[[#This Row],[Lucro Isento]]</calculatedColumnFormula>
    </tableColumn>
    <tableColumn id="9" xr3:uid="{1877BE20-2C75-44DB-9A45-458BD8365828}" name="Prejuízo a Compensar" dataDxfId="52" dataCellStyle="Moeda">
      <calculatedColumnFormula>IF(ROW()=2,0,IF(K1+J1&gt;=0,0,K1+J1))</calculatedColumnFormula>
    </tableColumn>
    <tableColumn id="10" xr3:uid="{4E02A6FE-150D-493B-AD22-802FC911ADBF}" name="Base de Cálculo" dataDxfId="51" dataCellStyle="Moeda">
      <calculatedColumnFormula>IF(TabelaIR[[#This Row],[Resultado Total]]+TabelaIR[[#This Row],[Prejuízo a Compensar]]&gt;0,TabelaIR[[#This Row],[Resultado Total]]+TabelaIR[[#This Row],[Prejuízo a Compensar]],0)</calculatedColumnFormula>
    </tableColumn>
    <tableColumn id="11" xr3:uid="{B369991C-6B1A-452D-8D64-D369FBF08FB5}" name="Imposto Devido" dataDxfId="50" dataCellStyle="Moeda">
      <calculatedColumnFormula>ROUNDDOWN(TabelaIR[[#This Row],[Base de Cálculo]]*15%,2)</calculatedColumnFormula>
    </tableColumn>
    <tableColumn id="12" xr3:uid="{99B7EE81-BF83-42E9-9562-FC0A84134D28}" name="I.R.R.F. no mês" dataDxfId="49" dataCellStyle="Moeda">
      <calculatedColumnFormula array="1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calculatedColumnFormula>
    </tableColumn>
    <tableColumn id="19" xr3:uid="{E37AFD79-6CA8-46A3-87ED-689AE23B41A4}" name="I.R.R.F Compensado" dataDxfId="48" dataCellStyle="Moeda">
      <calculatedColumnFormula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calculatedColumnFormula>
    </tableColumn>
    <tableColumn id="13" xr3:uid="{D64429B5-A623-4889-8DCE-DEBF83946C68}" name="Imposto a pagar" dataDxfId="47" dataCellStyle="Moeda">
      <calculatedColumnFormula>IF(TabelaIR[[#This Row],[Imposto Devido]]+TabelaIR[[#This Row],[I.R.R.F Compensado]]&lt;0,0,TabelaIR[[#This Row],[Imposto Devido]]+TabelaIR[[#This Row],[I.R.R.F Compensado]])</calculatedColumnFormula>
    </tableColumn>
    <tableColumn id="14" xr3:uid="{BC9335DD-72A2-488A-8335-B7753C3702E7}" name="Imposto Pago" dataDxfId="46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4E84D8-D081-49B7-B157-3E05E68FE7EC}" name="TabelaIRDT" displayName="TabelaIRDT" ref="A1:O25" totalsRowShown="0" headerRowDxfId="45" tableBorderDxfId="44" headerRowCellStyle="Moeda">
  <autoFilter ref="A1:O25" xr:uid="{5107F122-5B1A-4994-AD30-DC429E08CB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FF9A526-07A2-49A6-8B1F-09D57B6D2BCD}" name="Mês" dataDxfId="43">
      <calculatedColumnFormula>EDATE(A1,1)</calculatedColumnFormula>
    </tableColumn>
    <tableColumn id="3" xr3:uid="{BDB8536F-37C3-4C3B-AE9F-3C8377AF4B99}" name="Resultado Ação" dataDxfId="42" dataCellStyle="Moeda">
      <calculatedColumnFormula>SUMIFS(TabelaMovimentacoes[Valor],TabelaMovimentacoes[Tipo],"Resultado Ação Day Trade",TabelaMovimentacoes[Data Pregão],"&gt;="&amp;TabelaIRDT[[#This Row],[Mês]],TabelaMovimentacoes[Data Pregão],"&lt;="&amp;EOMONTH(TabelaIRDT[[#This Row],[Mês]],0))</calculatedColumnFormula>
    </tableColumn>
    <tableColumn id="4" xr3:uid="{B6100926-3D33-4394-BB62-9B8E78BD3BB0}" name="Resultado ETF" dataDxfId="41" dataCellStyle="Moeda">
      <calculatedColumnFormula>SUMIFS(TabelaMovimentacoes[Valor],TabelaMovimentacoes[Tipo],"Resultado ETF Day Trade",TabelaMovimentacoes[Data Pregão],"&gt;="&amp;TabelaIRDT[[#This Row],[Mês]],TabelaMovimentacoes[Data Pregão],"&lt;="&amp;EOMONTH(TabelaIRDT[[#This Row],[Mês]],0))</calculatedColumnFormula>
    </tableColumn>
    <tableColumn id="5" xr3:uid="{37AAA3ED-EF9A-458C-8203-315CD74CE3B2}" name="Resultado BDR" dataDxfId="40" dataCellStyle="Moeda">
      <calculatedColumnFormula>SUMIFS(TabelaMovimentacoes[Valor],TabelaMovimentacoes[Tipo],"Resultado BDR Day Trade",TabelaMovimentacoes[Data Pregão],"&gt;="&amp;TabelaIRDT[[#This Row],[Mês]],TabelaMovimentacoes[Data Pregão],"&lt;="&amp;EOMONTH(TabelaIRDT[[#This Row],[Mês]],0))</calculatedColumnFormula>
    </tableColumn>
    <tableColumn id="6" xr3:uid="{CA628F14-B9AA-47F3-ADAD-D661833EE0F4}" name="Resultado Futuro" dataDxfId="39" dataCellStyle="Moeda">
      <calculatedColumnFormula>SUMIFS(TabelaMovimentacoes[Valor],TabelaMovimentacoes[Tipo],"Resultado Futuro Day Trade",TabelaMovimentacoes[Data Pregão],"&gt;="&amp;TabelaIRDT[[#This Row],[Mês]],TabelaMovimentacoes[Data Pregão],"&lt;="&amp;EOMONTH(TabelaIRDT[[#This Row],[Mês]],0))</calculatedColumnFormula>
    </tableColumn>
    <tableColumn id="17" xr3:uid="{33C80306-B9E7-4F61-A318-8C284456D520}" name="Resultado Termo" dataDxfId="38" dataCellStyle="Moeda">
      <calculatedColumnFormula>SUMIFS(TabelaMovimentacoes[Valor],TabelaMovimentacoes[Tipo],"Resultado Termo Day Trade",TabelaMovimentacoes[Data Pregão],"&gt;="&amp;TabelaIRDT[[#This Row],[Mês]],TabelaMovimentacoes[Data Pregão],"&lt;="&amp;EOMONTH(TabelaIRDT[[#This Row],[Mês]],0))</calculatedColumnFormula>
    </tableColumn>
    <tableColumn id="16" xr3:uid="{31963F8C-F53B-44B8-A825-6B2FB0B068A7}" name="Resultado Opção" dataDxfId="37" dataCellStyle="Moeda">
      <calculatedColumnFormula>SUMIFS(TabelaMovimentacoes[Valor],TabelaMovimentacoes[Tipo],"Resultado Opção Day Trade",TabelaMovimentacoes[Data Pregão],"&gt;="&amp;TabelaIRDT[[#This Row],[Mês]],TabelaMovimentacoes[Data Pregão],"&lt;="&amp;EOMONTH(TabelaIRDT[[#This Row],[Mês]],0))</calculatedColumnFormula>
    </tableColumn>
    <tableColumn id="8" xr3:uid="{872A9748-5C6F-40A9-B4D8-32E4A30390D1}" name="Resultado Total" dataDxfId="36" dataCellStyle="Moeda">
      <calculatedColumnFormula>SUM(TabelaIRDT[[#This Row],[Resultado Ação]:[Resultado Opção]])</calculatedColumnFormula>
    </tableColumn>
    <tableColumn id="9" xr3:uid="{05246D8F-8474-47D2-83E9-C553F350C078}" name="Prejuízo a Compensar" dataDxfId="35" dataCellStyle="Moeda">
      <calculatedColumnFormula>IF(ROW()=2,0,IF(I1+H1&gt;=0,0,I1+H1))</calculatedColumnFormula>
    </tableColumn>
    <tableColumn id="10" xr3:uid="{7C0C06E5-38B7-462B-8499-ACE8A15C8629}" name="Base de Cálculo" dataDxfId="34" dataCellStyle="Moeda">
      <calculatedColumnFormula>IF(TabelaIRDT[[#This Row],[Resultado Total]]+TabelaIRDT[[#This Row],[Prejuízo a Compensar]]&gt;0,TabelaIRDT[[#This Row],[Resultado Total]]+TabelaIRDT[[#This Row],[Prejuízo a Compensar]],0)</calculatedColumnFormula>
    </tableColumn>
    <tableColumn id="11" xr3:uid="{F1098EB6-A416-44F7-93D0-D3E83D7B2A45}" name="Imposto Devido" dataDxfId="33" dataCellStyle="Moeda">
      <calculatedColumnFormula>ROUNDDOWN(TabelaIRDT[[#This Row],[Base de Cálculo]]*20%,2)</calculatedColumnFormula>
    </tableColumn>
    <tableColumn id="12" xr3:uid="{D1A1EC35-E518-4513-9BEE-D919BC1978FF}" name="I.R.R.F. no mês" dataDxfId="32" dataCellStyle="Moeda">
      <calculatedColumnFormula array="1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calculatedColumnFormula>
    </tableColumn>
    <tableColumn id="19" xr3:uid="{967A6393-FCE9-4BB8-8844-B9D4D76E1A66}" name="I.R.R.F Compensado" dataDxfId="31" dataCellStyle="Moeda">
      <calculatedColumnFormula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calculatedColumnFormula>
    </tableColumn>
    <tableColumn id="13" xr3:uid="{FB65D676-427B-4FA5-9B2E-DBA47E3E0377}" name="Imposto a pagar" dataDxfId="30" dataCellStyle="Moeda">
      <calculatedColumnFormula>IF(TabelaIRDT[[#This Row],[Imposto Devido]]+TabelaIRDT[[#This Row],[I.R.R.F Compensado]]&lt;0,0,TabelaIRDT[[#This Row],[Imposto Devido]]+TabelaIRDT[[#This Row],[I.R.R.F Compensado]])</calculatedColumnFormula>
    </tableColumn>
    <tableColumn id="2" xr3:uid="{F5A16063-E4DA-4CF3-BEBD-99DE26EB4CBC}" name="Imposto Pago" dataDxfId="29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0E9CCA3-FF07-45D2-98B3-7A23AA1CACDA}" name="TabelaIRFII" displayName="TabelaIRFII" ref="A1:I25" totalsRowShown="0" headerRowDxfId="28" tableBorderDxfId="27" headerRowCellStyle="Moeda">
  <autoFilter ref="A1:I25" xr:uid="{5107F122-5B1A-4994-AD30-DC429E08CB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E7BBFA32-409F-46F9-97A4-F962763E8128}" name="Mês" dataDxfId="26">
      <calculatedColumnFormula>EDATE(A1,1)</calculatedColumnFormula>
    </tableColumn>
    <tableColumn id="3" xr3:uid="{BD02C0F8-9D99-4C99-8851-9EFDB9F85987}" name="Resultado FII" dataDxfId="25" dataCellStyle="Moeda">
      <calculatedColumnFormula array="1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calculatedColumnFormula>
    </tableColumn>
    <tableColumn id="9" xr3:uid="{2E82E764-D31C-4E39-8B81-090D9475AA3F}" name="Prejuízo a Compensar" dataDxfId="24" dataCellStyle="Moeda">
      <calculatedColumnFormula>IF(ROW()=2,0,IF(C1+B1&gt;=0,0,C1+B1))</calculatedColumnFormula>
    </tableColumn>
    <tableColumn id="10" xr3:uid="{5CC6D9A5-9713-4F68-A809-2EB768D9163E}" name="Base de Cálculo" dataDxfId="23" dataCellStyle="Moeda">
      <calculatedColumnFormula>IF(TabelaIRFII[[#This Row],[Resultado FII]]+TabelaIRFII[[#This Row],[Prejuízo a Compensar]]&gt;0,TabelaIRFII[[#This Row],[Resultado FII]]+TabelaIRFII[[#This Row],[Prejuízo a Compensar]],0)</calculatedColumnFormula>
    </tableColumn>
    <tableColumn id="11" xr3:uid="{2B05D4E4-0C5B-41B6-9093-A5D7EF3FFF98}" name="Imposto Devido" dataDxfId="22" dataCellStyle="Moeda">
      <calculatedColumnFormula>ROUNDDOWN(TabelaIRFII[[#This Row],[Base de Cálculo]]*20%,2)</calculatedColumnFormula>
    </tableColumn>
    <tableColumn id="12" xr3:uid="{12207126-FA02-4642-8365-11DDDC3F98B1}" name="I.R.R.F. no mês" dataDxfId="21" dataCellStyle="Moeda">
      <calculatedColumnFormula array="1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calculatedColumnFormula>
    </tableColumn>
    <tableColumn id="19" xr3:uid="{1F1E6621-DAB7-4296-8DB2-E42226FA3006}" name="I.R.R.F Compensado" dataDxfId="20" dataCellStyle="Moeda">
      <calculatedColumnFormula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calculatedColumnFormula>
    </tableColumn>
    <tableColumn id="13" xr3:uid="{4F3A1B00-A2D2-41C0-890C-A30C89388452}" name="Imposto a pagar" dataDxfId="19" dataCellStyle="Moeda">
      <calculatedColumnFormula>IF(TabelaIRFII[[#This Row],[Imposto Devido]]+TabelaIRFII[[#This Row],[I.R.R.F Compensado]]&lt;0,0,TabelaIRFII[[#This Row],[Imposto Devido]]+TabelaIRFII[[#This Row],[I.R.R.F Compensado]])</calculatedColumnFormula>
    </tableColumn>
    <tableColumn id="2" xr3:uid="{B5F33F91-F784-447E-BECF-DD1A7562DDE6}" name="Imposto Pago" dataDxfId="18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1E6161C-BAB2-4E0C-B729-A79C32566684}" name="TabelaDARF" displayName="TabelaDARF" ref="A1:E25" totalsRowShown="0" headerRowDxfId="15" tableBorderDxfId="14" headerRowCellStyle="Moeda">
  <autoFilter ref="A1:E25" xr:uid="{5107F122-5B1A-4994-AD30-DC429E08CB8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97063E1-0F09-4E3F-B618-4133483B0FF4}" name="Mês" dataDxfId="13">
      <calculatedColumnFormula>EDATE(A1,1)</calculatedColumnFormula>
    </tableColumn>
    <tableColumn id="13" xr3:uid="{E6E81824-64FB-478C-A5AB-B65CF2DCA7B0}" name="Imposto a pagar" dataDxfId="12" dataCellStyle="Moeda">
      <calculatedColumnFormula>TabelaIRFII[[#This Row],[Imposto a pagar]]+TabelaIRDT[[#This Row],[Imposto a pagar]]+TabelaIR[[#This Row],[Imposto a pagar]]</calculatedColumnFormula>
    </tableColumn>
    <tableColumn id="18" xr3:uid="{6153328E-BDEA-405F-8CE5-4E1DC51817B3}" name="DARF a pagar" dataDxfId="11" dataCellStyle="Moeda">
      <calculatedColumnFormula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calculatedColumnFormula>
    </tableColumn>
    <tableColumn id="14" xr3:uid="{92447F3B-F4D6-4329-A8C3-C801BECFBFCC}" name="Data de pagamento" dataDxfId="10">
      <calculatedColumnFormula>IF(TabelaDARF[[#This Row],[DARF a pagar]]&gt;0,VLOOKUP(EDATE(TabelaDARF[[#This Row],[Mês]],1),Feriados!E:N,10,0),"")</calculatedColumnFormula>
    </tableColumn>
    <tableColumn id="15" xr3:uid="{313C6A70-0C7C-4EF5-B1D3-47B366D7F23F}" name="Imposto pago" dataDxfId="9" dataCellStyle="Moeda">
      <calculatedColumnFormula>TabelaIR[[#This Row],[Imposto Pago]]+TabelaIRDT[[#This Row],[Imposto Pago]]+TabelaIRFII[[#This Row],[Imposto Pago]]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786053-F3EE-4282-88AB-E6A501A48C2B}" name="TabelaOpcoes" displayName="TabelaOpcoes" ref="A1:A8" totalsRowShown="0">
  <autoFilter ref="A1:A8" xr:uid="{E2FF9099-EE1A-43F7-8ACE-9CDB42FEE945}"/>
  <tableColumns count="1">
    <tableColumn id="1" xr3:uid="{4044F2E4-6D27-4641-AB0D-96CA4D90180A}" name="Tip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CB8280-B8CB-4558-B7AB-A76856220CB2}" name="AcoesIsentas" displayName="AcoesIsentas" ref="A1:B9" totalsRowShown="0" headerRowDxfId="3" dataDxfId="2">
  <autoFilter ref="A1:B9" xr:uid="{CDCB8280-B8CB-4558-B7AB-A76856220CB2}"/>
  <tableColumns count="2">
    <tableColumn id="1" xr3:uid="{D4956E61-1EDC-4ABD-BF92-BA00E2CD927D}" name="Ação" dataDxfId="1"/>
    <tableColumn id="2" xr3:uid="{3B4F5C8D-3628-4997-BA08-8058249796BE}" name="Limi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normas.receita.fazenda.gov.br/sijut2consulta/link.action?idAto=67494" TargetMode="Externa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planalto.gov.br/CCIVIL_03/_Ato2011-2014/2014/Lei/L13043.htm" TargetMode="External"/><Relationship Id="rId5" Type="http://schemas.openxmlformats.org/officeDocument/2006/relationships/comments" Target="../comments6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BACE-2FAA-4268-B9C8-91F697D15CA8}">
  <sheetPr codeName="Planilha18"/>
  <dimension ref="A1"/>
  <sheetViews>
    <sheetView showGridLine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396F-18CC-4DDB-BC90-F0CACA4C61C8}">
  <sheetPr codeName="Planilha17"/>
  <dimension ref="A1:Z23"/>
  <sheetViews>
    <sheetView workbookViewId="0"/>
  </sheetViews>
  <sheetFormatPr defaultRowHeight="15" x14ac:dyDescent="0.25"/>
  <cols>
    <col min="1" max="1" width="0.140625" customWidth="1"/>
    <col min="2" max="2" width="7" customWidth="1"/>
    <col min="3" max="5" width="11" customWidth="1"/>
    <col min="6" max="6" width="2.28515625" customWidth="1"/>
    <col min="7" max="9" width="11" customWidth="1"/>
    <col min="10" max="10" width="2.28515625" customWidth="1"/>
    <col min="11" max="13" width="11" customWidth="1"/>
    <col min="14" max="14" width="2.28515625" customWidth="1"/>
    <col min="15" max="17" width="11" customWidth="1"/>
    <col min="18" max="18" width="2.28515625" customWidth="1"/>
    <col min="19" max="21" width="11" customWidth="1"/>
    <col min="22" max="22" width="7" customWidth="1"/>
    <col min="23" max="25" width="11" customWidth="1"/>
  </cols>
  <sheetData>
    <row r="1" spans="1:26" ht="0.75" customHeight="1" x14ac:dyDescent="0.25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</row>
    <row r="2" spans="1:26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</row>
    <row r="3" spans="1:26" x14ac:dyDescent="0.25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</row>
    <row r="4" spans="1:26" x14ac:dyDescent="0.25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</row>
    <row r="5" spans="1:26" x14ac:dyDescent="0.25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</row>
    <row r="6" spans="1:26" x14ac:dyDescent="0.25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</row>
    <row r="7" spans="1:26" x14ac:dyDescent="0.2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</row>
    <row r="8" spans="1:26" x14ac:dyDescent="0.2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</row>
    <row r="9" spans="1:26" x14ac:dyDescent="0.2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</row>
    <row r="10" spans="1:26" x14ac:dyDescent="0.2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</row>
    <row r="11" spans="1:26" x14ac:dyDescent="0.2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</row>
    <row r="12" spans="1:26" x14ac:dyDescent="0.2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</row>
    <row r="13" spans="1:26" x14ac:dyDescent="0.2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</row>
    <row r="14" spans="1:26" x14ac:dyDescent="0.2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</row>
    <row r="15" spans="1:26" x14ac:dyDescent="0.2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</row>
    <row r="16" spans="1:26" x14ac:dyDescent="0.2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</row>
    <row r="17" spans="1:26" x14ac:dyDescent="0.2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</row>
    <row r="18" spans="1:26" x14ac:dyDescent="0.2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</row>
    <row r="19" spans="1:26" x14ac:dyDescent="0.2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</row>
    <row r="20" spans="1:26" x14ac:dyDescent="0.2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</row>
    <row r="21" spans="1:26" x14ac:dyDescent="0.2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</row>
    <row r="22" spans="1:26" x14ac:dyDescent="0.2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</row>
    <row r="23" spans="1:26" x14ac:dyDescent="0.2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D7A0-A6A2-4C65-9B7D-C69CD718239B}">
  <sheetPr codeName="Planilha1"/>
  <dimension ref="A1:Y28"/>
  <sheetViews>
    <sheetView showGridLines="0" zoomScaleNormal="100" workbookViewId="0">
      <pane ySplit="1" topLeftCell="A11" activePane="bottomLeft" state="frozen"/>
      <selection activeCell="S1" sqref="S1"/>
      <selection pane="bottomLeft" activeCell="O19" sqref="O19"/>
    </sheetView>
  </sheetViews>
  <sheetFormatPr defaultRowHeight="15" x14ac:dyDescent="0.25"/>
  <cols>
    <col min="1" max="1" width="13.85546875" style="3" customWidth="1"/>
    <col min="2" max="2" width="5.140625" style="19" bestFit="1" customWidth="1"/>
    <col min="3" max="3" width="7.5703125" style="3" bestFit="1" customWidth="1"/>
    <col min="4" max="4" width="11.7109375" style="3" bestFit="1" customWidth="1"/>
    <col min="5" max="5" width="13.85546875" style="3" bestFit="1" customWidth="1"/>
    <col min="6" max="6" width="17.28515625" style="3" bestFit="1" customWidth="1"/>
    <col min="7" max="7" width="6.5703125" style="3" bestFit="1" customWidth="1"/>
    <col min="8" max="8" width="7.140625" style="3" bestFit="1" customWidth="1"/>
    <col min="9" max="9" width="8.5703125" style="3" bestFit="1" customWidth="1"/>
    <col min="10" max="10" width="13.7109375" style="19" bestFit="1" customWidth="1"/>
    <col min="11" max="11" width="10.5703125" style="3" bestFit="1" customWidth="1"/>
    <col min="12" max="12" width="17" style="3" bestFit="1" customWidth="1"/>
    <col min="13" max="13" width="8.5703125" style="3" bestFit="1" customWidth="1"/>
    <col min="14" max="14" width="15" style="3" bestFit="1" customWidth="1"/>
    <col min="15" max="15" width="9.42578125" style="3" bestFit="1" customWidth="1"/>
    <col min="16" max="16" width="17.28515625" style="3" bestFit="1" customWidth="1"/>
    <col min="17" max="17" width="15" style="3" bestFit="1" customWidth="1"/>
    <col min="18" max="18" width="21.140625" style="3" bestFit="1" customWidth="1"/>
    <col min="19" max="19" width="13.42578125" style="3" bestFit="1" customWidth="1"/>
    <col min="20" max="20" width="15.7109375" style="3" bestFit="1" customWidth="1"/>
    <col min="21" max="21" width="18.5703125" style="3" bestFit="1" customWidth="1"/>
    <col min="22" max="22" width="16" style="3" bestFit="1" customWidth="1"/>
    <col min="23" max="23" width="15.5703125" style="3" bestFit="1" customWidth="1"/>
    <col min="24" max="24" width="11.42578125" style="3" bestFit="1" customWidth="1"/>
    <col min="25" max="25" width="9.28515625" style="3" bestFit="1" customWidth="1"/>
    <col min="26" max="30" width="9.140625" style="3"/>
    <col min="31" max="32" width="6.5703125" style="3" customWidth="1"/>
    <col min="33" max="16384" width="9.140625" style="3"/>
  </cols>
  <sheetData>
    <row r="1" spans="1:25" x14ac:dyDescent="0.25">
      <c r="A1" s="43" t="s">
        <v>35</v>
      </c>
      <c r="B1" s="87" t="s">
        <v>30</v>
      </c>
      <c r="C1" s="43" t="s">
        <v>23</v>
      </c>
      <c r="D1" s="43" t="s">
        <v>0</v>
      </c>
      <c r="E1" s="88" t="s">
        <v>1</v>
      </c>
      <c r="F1" s="88" t="s">
        <v>2</v>
      </c>
      <c r="G1" s="43" t="s">
        <v>3</v>
      </c>
      <c r="H1" s="43" t="s">
        <v>5</v>
      </c>
      <c r="I1" s="43" t="s">
        <v>4</v>
      </c>
      <c r="J1" s="87" t="s">
        <v>7</v>
      </c>
      <c r="K1" s="43" t="s">
        <v>8</v>
      </c>
      <c r="L1" s="43" t="s">
        <v>9</v>
      </c>
      <c r="M1" s="43" t="s">
        <v>10</v>
      </c>
      <c r="N1" s="43" t="s">
        <v>11</v>
      </c>
      <c r="O1" s="43" t="s">
        <v>12</v>
      </c>
      <c r="P1" s="43" t="s">
        <v>13</v>
      </c>
      <c r="Q1" s="43" t="s">
        <v>14</v>
      </c>
      <c r="R1" s="43" t="s">
        <v>15</v>
      </c>
      <c r="S1" s="43" t="s">
        <v>16</v>
      </c>
      <c r="T1" s="43" t="s">
        <v>17</v>
      </c>
      <c r="U1" s="43" t="s">
        <v>18</v>
      </c>
      <c r="V1" s="43" t="s">
        <v>19</v>
      </c>
      <c r="W1" s="43" t="s">
        <v>20</v>
      </c>
      <c r="X1" s="43" t="s">
        <v>21</v>
      </c>
      <c r="Y1" s="43" t="s">
        <v>22</v>
      </c>
    </row>
    <row r="2" spans="1:25" x14ac:dyDescent="0.25">
      <c r="A2" s="19" t="s">
        <v>36</v>
      </c>
      <c r="B2" s="19">
        <v>3</v>
      </c>
      <c r="C2" s="3">
        <v>1233</v>
      </c>
      <c r="D2" s="3" t="s">
        <v>24</v>
      </c>
      <c r="E2" s="26">
        <v>44215</v>
      </c>
      <c r="F2" s="26">
        <v>44217</v>
      </c>
      <c r="G2" s="3" t="s">
        <v>25</v>
      </c>
      <c r="H2" s="3" t="s">
        <v>6</v>
      </c>
      <c r="I2" s="3" t="s">
        <v>28</v>
      </c>
      <c r="J2" s="19">
        <v>35</v>
      </c>
      <c r="K2" s="4">
        <v>23.48</v>
      </c>
      <c r="L2" s="4">
        <f>TabelaNotas[[#This Row],[Preço]]*TabelaNotas[[#This Row],[Quantidade]]</f>
        <v>821.80000000000007</v>
      </c>
      <c r="M2" s="4">
        <f>SUM(TabelaNotas[[#This Row],[Taxa Liquidação]:[Outros]])</f>
        <v>0.24</v>
      </c>
      <c r="N2" s="4">
        <f>IF(TabelaNotas[[#This Row],[C/V]]="C",SUM(TabelaNotas[[#This Row],[Valor Operação]:[Taxas]]),TabelaNotas[[#This Row],[Valor Operação]]-TabelaNotas[[#This Row],[Taxas]])</f>
        <v>822.04000000000008</v>
      </c>
      <c r="O2" s="4">
        <v>0</v>
      </c>
      <c r="P2" s="4">
        <v>0.22</v>
      </c>
      <c r="Q2" s="4">
        <v>0</v>
      </c>
      <c r="R2" s="4">
        <v>0</v>
      </c>
      <c r="S2" s="4">
        <v>0</v>
      </c>
      <c r="T2" s="4">
        <v>0.02</v>
      </c>
      <c r="U2" s="4">
        <v>0</v>
      </c>
      <c r="V2" s="4">
        <v>0</v>
      </c>
      <c r="W2" s="4">
        <v>0</v>
      </c>
      <c r="X2" s="4">
        <v>0</v>
      </c>
      <c r="Y2" s="4">
        <v>0</v>
      </c>
    </row>
    <row r="3" spans="1:25" x14ac:dyDescent="0.25">
      <c r="A3" s="19" t="s">
        <v>36</v>
      </c>
      <c r="B3" s="19">
        <v>4</v>
      </c>
      <c r="C3" s="3">
        <v>1233</v>
      </c>
      <c r="D3" s="3" t="s">
        <v>24</v>
      </c>
      <c r="E3" s="26">
        <v>44215</v>
      </c>
      <c r="F3" s="26">
        <v>44217</v>
      </c>
      <c r="G3" s="3" t="s">
        <v>25</v>
      </c>
      <c r="H3" s="3" t="s">
        <v>6</v>
      </c>
      <c r="I3" s="3" t="s">
        <v>29</v>
      </c>
      <c r="J3" s="19">
        <v>25</v>
      </c>
      <c r="K3" s="4">
        <v>32.96</v>
      </c>
      <c r="L3" s="4">
        <f>TabelaNotas[[#This Row],[Preço]]*TabelaNotas[[#This Row],[Quantidade]]</f>
        <v>824</v>
      </c>
      <c r="M3" s="4">
        <f>SUM(TabelaNotas[[#This Row],[Taxa Liquidação]:[Outros]])</f>
        <v>0.26</v>
      </c>
      <c r="N3" s="4">
        <f>IF(TabelaNotas[[#This Row],[C/V]]="C",SUM(TabelaNotas[[#This Row],[Valor Operação]:[Taxas]]),TabelaNotas[[#This Row],[Valor Operação]]-TabelaNotas[[#This Row],[Taxas]])</f>
        <v>824.26</v>
      </c>
      <c r="O3" s="4">
        <v>0</v>
      </c>
      <c r="P3" s="4">
        <v>0.23</v>
      </c>
      <c r="Q3" s="4">
        <v>0</v>
      </c>
      <c r="R3" s="4">
        <v>0</v>
      </c>
      <c r="S3" s="4">
        <v>0</v>
      </c>
      <c r="T3" s="4">
        <v>0.03</v>
      </c>
      <c r="U3" s="4">
        <v>0</v>
      </c>
      <c r="V3" s="4">
        <v>0</v>
      </c>
      <c r="W3" s="4">
        <v>0</v>
      </c>
      <c r="X3" s="4">
        <v>0</v>
      </c>
      <c r="Y3" s="4">
        <v>0</v>
      </c>
    </row>
    <row r="4" spans="1:25" x14ac:dyDescent="0.25">
      <c r="A4" s="25" t="s">
        <v>36</v>
      </c>
      <c r="B4" s="25">
        <v>6</v>
      </c>
      <c r="C4" s="3">
        <v>1234</v>
      </c>
      <c r="D4" s="3" t="s">
        <v>24</v>
      </c>
      <c r="E4" s="26">
        <v>44216</v>
      </c>
      <c r="F4" s="26">
        <v>44218</v>
      </c>
      <c r="G4" s="3" t="s">
        <v>26</v>
      </c>
      <c r="H4" s="3" t="s">
        <v>6</v>
      </c>
      <c r="I4" s="3" t="s">
        <v>28</v>
      </c>
      <c r="J4" s="19">
        <v>35</v>
      </c>
      <c r="K4" s="4">
        <v>22.93</v>
      </c>
      <c r="L4" s="4">
        <f>TabelaNotas[[#This Row],[Preço]]*TabelaNotas[[#This Row],[Quantidade]]</f>
        <v>802.55</v>
      </c>
      <c r="M4" s="4">
        <f>SUM(TabelaNotas[[#This Row],[Taxa Liquidação]:[Outros]])</f>
        <v>0.02</v>
      </c>
      <c r="N4" s="4">
        <f>IF(TabelaNotas[[#This Row],[C/V]]="C",SUM(TabelaNotas[[#This Row],[Valor Operação]:[Taxas]]),TabelaNotas[[#This Row],[Valor Operação]]-TabelaNotas[[#This Row],[Taxas]])</f>
        <v>802.53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0.02</v>
      </c>
      <c r="U4" s="4">
        <v>0</v>
      </c>
      <c r="V4" s="4">
        <v>0</v>
      </c>
      <c r="W4" s="4">
        <v>0</v>
      </c>
      <c r="X4" s="4">
        <v>0</v>
      </c>
      <c r="Y4" s="4">
        <v>0</v>
      </c>
    </row>
    <row r="5" spans="1:25" x14ac:dyDescent="0.25">
      <c r="A5" s="25" t="s">
        <v>36</v>
      </c>
      <c r="B5" s="25">
        <v>7</v>
      </c>
      <c r="C5" s="3">
        <v>1234</v>
      </c>
      <c r="D5" s="3" t="s">
        <v>24</v>
      </c>
      <c r="E5" s="26">
        <v>44216</v>
      </c>
      <c r="F5" s="26">
        <v>44218</v>
      </c>
      <c r="G5" s="3" t="s">
        <v>26</v>
      </c>
      <c r="H5" s="3" t="s">
        <v>6</v>
      </c>
      <c r="I5" s="3" t="s">
        <v>29</v>
      </c>
      <c r="J5" s="19">
        <v>25</v>
      </c>
      <c r="K5" s="4">
        <v>34.21</v>
      </c>
      <c r="L5" s="4">
        <f>TabelaNotas[[#This Row],[Preço]]*TabelaNotas[[#This Row],[Quantidade]]</f>
        <v>855.25</v>
      </c>
      <c r="M5" s="4">
        <f>SUM(TabelaNotas[[#This Row],[Taxa Liquidação]:[Outros]])</f>
        <v>0.26</v>
      </c>
      <c r="N5" s="4">
        <f>IF(TabelaNotas[[#This Row],[C/V]]="C",SUM(TabelaNotas[[#This Row],[Valor Operação]:[Taxas]]),TabelaNotas[[#This Row],[Valor Operação]]-TabelaNotas[[#This Row],[Taxas]])</f>
        <v>854.99</v>
      </c>
      <c r="O5" s="4">
        <v>0.04</v>
      </c>
      <c r="P5" s="4">
        <v>0.23</v>
      </c>
      <c r="Q5" s="4">
        <v>0</v>
      </c>
      <c r="R5" s="4">
        <v>0</v>
      </c>
      <c r="S5" s="4">
        <v>0</v>
      </c>
      <c r="T5" s="4">
        <v>0.03</v>
      </c>
      <c r="U5" s="4">
        <v>0</v>
      </c>
      <c r="V5" s="4">
        <v>0</v>
      </c>
      <c r="W5" s="4">
        <v>0</v>
      </c>
      <c r="X5" s="4">
        <v>0</v>
      </c>
      <c r="Y5" s="4">
        <v>0</v>
      </c>
    </row>
    <row r="6" spans="1:25" x14ac:dyDescent="0.25">
      <c r="A6" s="25" t="s">
        <v>36</v>
      </c>
      <c r="B6" s="25">
        <v>5</v>
      </c>
      <c r="C6" s="3">
        <v>1234</v>
      </c>
      <c r="D6" s="3" t="s">
        <v>24</v>
      </c>
      <c r="E6" s="26">
        <v>44216</v>
      </c>
      <c r="F6" s="26">
        <v>44218</v>
      </c>
      <c r="G6" s="3" t="s">
        <v>25</v>
      </c>
      <c r="H6" s="3" t="s">
        <v>6</v>
      </c>
      <c r="I6" s="3" t="s">
        <v>27</v>
      </c>
      <c r="J6" s="19">
        <v>64</v>
      </c>
      <c r="K6" s="4">
        <v>25.97</v>
      </c>
      <c r="L6" s="4">
        <f>TabelaNotas[[#This Row],[Preço]]*TabelaNotas[[#This Row],[Quantidade]]</f>
        <v>1662.08</v>
      </c>
      <c r="M6" s="4">
        <f>SUM(TabelaNotas[[#This Row],[Taxa Liquidação]:[Outros]])</f>
        <v>0.51</v>
      </c>
      <c r="N6" s="4">
        <f>IF(TabelaNotas[[#This Row],[C/V]]="C",SUM(TabelaNotas[[#This Row],[Valor Operação]:[Taxas]]),TabelaNotas[[#This Row],[Valor Operação]]-TabelaNotas[[#This Row],[Taxas]])</f>
        <v>1662.59</v>
      </c>
      <c r="O6" s="4">
        <v>0</v>
      </c>
      <c r="P6" s="4">
        <v>0.46</v>
      </c>
      <c r="Q6" s="4">
        <v>0</v>
      </c>
      <c r="R6" s="4">
        <v>0</v>
      </c>
      <c r="S6" s="4">
        <v>0</v>
      </c>
      <c r="T6" s="4">
        <v>0.05</v>
      </c>
      <c r="U6" s="4">
        <v>0</v>
      </c>
      <c r="V6" s="4">
        <v>0</v>
      </c>
      <c r="W6" s="4">
        <v>0</v>
      </c>
      <c r="X6" s="4">
        <v>0</v>
      </c>
      <c r="Y6" s="4">
        <v>0</v>
      </c>
    </row>
    <row r="7" spans="1:25" x14ac:dyDescent="0.25">
      <c r="A7" s="25" t="s">
        <v>36</v>
      </c>
      <c r="B7" s="25">
        <v>8</v>
      </c>
      <c r="C7" s="3">
        <v>1235</v>
      </c>
      <c r="D7" s="3" t="s">
        <v>24</v>
      </c>
      <c r="E7" s="26">
        <v>44265</v>
      </c>
      <c r="F7" s="26">
        <v>44267</v>
      </c>
      <c r="G7" s="3" t="s">
        <v>25</v>
      </c>
      <c r="H7" s="3" t="s">
        <v>6</v>
      </c>
      <c r="I7" s="3" t="s">
        <v>59</v>
      </c>
      <c r="J7" s="19">
        <v>55</v>
      </c>
      <c r="K7" s="4">
        <v>19.21</v>
      </c>
      <c r="L7" s="4">
        <f>TabelaNotas[[#This Row],[Preço]]*TabelaNotas[[#This Row],[Quantidade]]</f>
        <v>1056.55</v>
      </c>
      <c r="M7" s="4">
        <f>SUM(TabelaNotas[[#This Row],[Taxa Liquidação]:[Outros]])</f>
        <v>0.3</v>
      </c>
      <c r="N7" s="4">
        <f>IF(TabelaNotas[[#This Row],[C/V]]="C",SUM(TabelaNotas[[#This Row],[Valor Operação]:[Taxas]]),TabelaNotas[[#This Row],[Valor Operação]]-TabelaNotas[[#This Row],[Taxas]])</f>
        <v>1056.8499999999999</v>
      </c>
      <c r="O7" s="4">
        <v>0</v>
      </c>
      <c r="P7" s="4">
        <v>0.26</v>
      </c>
      <c r="Q7" s="4">
        <v>0</v>
      </c>
      <c r="R7" s="4">
        <v>0</v>
      </c>
      <c r="S7" s="4">
        <v>0</v>
      </c>
      <c r="T7" s="4">
        <v>0.04</v>
      </c>
      <c r="U7" s="4">
        <v>0</v>
      </c>
      <c r="V7" s="4">
        <v>0</v>
      </c>
      <c r="W7" s="4">
        <v>0</v>
      </c>
      <c r="X7" s="4">
        <v>0</v>
      </c>
      <c r="Y7" s="4">
        <v>0</v>
      </c>
    </row>
    <row r="8" spans="1:25" x14ac:dyDescent="0.25">
      <c r="A8" s="25" t="s">
        <v>36</v>
      </c>
      <c r="B8" s="25">
        <v>9</v>
      </c>
      <c r="C8" s="3">
        <v>1236</v>
      </c>
      <c r="D8" s="3" t="s">
        <v>24</v>
      </c>
      <c r="E8" s="26">
        <v>44271</v>
      </c>
      <c r="F8" s="26">
        <v>44273</v>
      </c>
      <c r="G8" s="3" t="s">
        <v>25</v>
      </c>
      <c r="H8" s="3" t="s">
        <v>6</v>
      </c>
      <c r="I8" s="3" t="s">
        <v>60</v>
      </c>
      <c r="J8" s="19">
        <v>86</v>
      </c>
      <c r="K8" s="4">
        <v>23.82</v>
      </c>
      <c r="L8" s="4">
        <f>TabelaNotas[[#This Row],[Preço]]*TabelaNotas[[#This Row],[Quantidade]]</f>
        <v>2048.52</v>
      </c>
      <c r="M8" s="4">
        <f>SUM(TabelaNotas[[#This Row],[Taxa Liquidação]:[Outros]])</f>
        <v>0.6</v>
      </c>
      <c r="N8" s="4">
        <f>IF(TabelaNotas[[#This Row],[C/V]]="C",SUM(TabelaNotas[[#This Row],[Valor Operação]:[Taxas]]),TabelaNotas[[#This Row],[Valor Operação]]-TabelaNotas[[#This Row],[Taxas]])</f>
        <v>2049.12</v>
      </c>
      <c r="O8" s="4">
        <v>0</v>
      </c>
      <c r="P8" s="4">
        <v>0.52</v>
      </c>
      <c r="Q8" s="4">
        <v>0</v>
      </c>
      <c r="R8" s="4">
        <v>0</v>
      </c>
      <c r="S8" s="4">
        <v>0</v>
      </c>
      <c r="T8" s="4">
        <v>0.08</v>
      </c>
      <c r="U8" s="4">
        <v>0</v>
      </c>
      <c r="V8" s="4">
        <v>0</v>
      </c>
      <c r="W8" s="4">
        <v>0</v>
      </c>
      <c r="X8" s="4">
        <v>0</v>
      </c>
      <c r="Y8" s="4">
        <v>0</v>
      </c>
    </row>
    <row r="9" spans="1:25" x14ac:dyDescent="0.25">
      <c r="A9" s="25" t="s">
        <v>36</v>
      </c>
      <c r="B9" s="25">
        <v>10</v>
      </c>
      <c r="C9" s="3">
        <v>1236</v>
      </c>
      <c r="D9" s="3" t="s">
        <v>24</v>
      </c>
      <c r="E9" s="26">
        <v>44271</v>
      </c>
      <c r="F9" s="26">
        <v>44273</v>
      </c>
      <c r="G9" s="3" t="s">
        <v>25</v>
      </c>
      <c r="H9" s="3" t="s">
        <v>41</v>
      </c>
      <c r="I9" s="3" t="s">
        <v>61</v>
      </c>
      <c r="J9" s="19">
        <v>15</v>
      </c>
      <c r="K9" s="4">
        <v>81.88</v>
      </c>
      <c r="L9" s="4">
        <f>TabelaNotas[[#This Row],[Preço]]*TabelaNotas[[#This Row],[Quantidade]]</f>
        <v>1228.1999999999998</v>
      </c>
      <c r="M9" s="4">
        <f>SUM(TabelaNotas[[#This Row],[Taxa Liquidação]:[Outros]])</f>
        <v>0.35</v>
      </c>
      <c r="N9" s="4">
        <f>IF(TabelaNotas[[#This Row],[C/V]]="C",SUM(TabelaNotas[[#This Row],[Valor Operação]:[Taxas]]),TabelaNotas[[#This Row],[Valor Operação]]-TabelaNotas[[#This Row],[Taxas]])</f>
        <v>1228.5499999999997</v>
      </c>
      <c r="O9" s="4">
        <v>0</v>
      </c>
      <c r="P9" s="4">
        <v>0.3</v>
      </c>
      <c r="Q9" s="4">
        <v>0</v>
      </c>
      <c r="R9" s="4">
        <v>0</v>
      </c>
      <c r="S9" s="4">
        <v>0</v>
      </c>
      <c r="T9" s="4">
        <v>0.05</v>
      </c>
      <c r="U9" s="4">
        <v>0</v>
      </c>
      <c r="V9" s="4">
        <v>0</v>
      </c>
      <c r="W9" s="4">
        <v>0</v>
      </c>
      <c r="X9" s="4">
        <v>0</v>
      </c>
      <c r="Y9" s="4">
        <v>0</v>
      </c>
    </row>
    <row r="10" spans="1:25" x14ac:dyDescent="0.25">
      <c r="A10" s="25" t="s">
        <v>36</v>
      </c>
      <c r="B10" s="25">
        <v>14</v>
      </c>
      <c r="C10" s="3">
        <v>1232</v>
      </c>
      <c r="D10" s="3" t="s">
        <v>24</v>
      </c>
      <c r="E10" s="26">
        <v>44105</v>
      </c>
      <c r="F10" s="26">
        <v>44109</v>
      </c>
      <c r="G10" s="3" t="s">
        <v>25</v>
      </c>
      <c r="H10" s="3" t="s">
        <v>6</v>
      </c>
      <c r="I10" s="3" t="s">
        <v>60</v>
      </c>
      <c r="J10" s="19">
        <v>100</v>
      </c>
      <c r="K10" s="4">
        <v>22.98</v>
      </c>
      <c r="L10" s="4">
        <f>TabelaNotas[[#This Row],[Preço]]*TabelaNotas[[#This Row],[Quantidade]]</f>
        <v>2298</v>
      </c>
      <c r="M10" s="4">
        <f>SUM(TabelaNotas[[#This Row],[Taxa Liquidação]:[Outros]])</f>
        <v>0.55000000000000004</v>
      </c>
      <c r="N10" s="4">
        <f>IF(TabelaNotas[[#This Row],[C/V]]="C",SUM(TabelaNotas[[#This Row],[Valor Operação]:[Taxas]]),TabelaNotas[[#This Row],[Valor Operação]]-TabelaNotas[[#This Row],[Taxas]])</f>
        <v>2298.5500000000002</v>
      </c>
      <c r="O10" s="4">
        <v>0</v>
      </c>
      <c r="P10" s="4">
        <v>0.48</v>
      </c>
      <c r="Q10" s="4">
        <v>0</v>
      </c>
      <c r="R10" s="4">
        <v>0</v>
      </c>
      <c r="S10" s="4">
        <v>0</v>
      </c>
      <c r="T10" s="4">
        <v>7.0000000000000007E-2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</row>
    <row r="11" spans="1:25" x14ac:dyDescent="0.25">
      <c r="A11" s="25" t="s">
        <v>36</v>
      </c>
      <c r="B11" s="25">
        <v>16</v>
      </c>
      <c r="C11" s="3">
        <v>1237</v>
      </c>
      <c r="D11" s="3" t="s">
        <v>24</v>
      </c>
      <c r="E11" s="26">
        <v>44279</v>
      </c>
      <c r="F11" s="26">
        <v>44281</v>
      </c>
      <c r="G11" s="3" t="s">
        <v>25</v>
      </c>
      <c r="H11" s="3" t="s">
        <v>6</v>
      </c>
      <c r="I11" s="3" t="s">
        <v>65</v>
      </c>
      <c r="J11" s="19">
        <v>49</v>
      </c>
      <c r="K11" s="4">
        <v>22.8</v>
      </c>
      <c r="L11" s="4">
        <f>TabelaNotas[[#This Row],[Preço]]*TabelaNotas[[#This Row],[Quantidade]]</f>
        <v>1117.2</v>
      </c>
      <c r="M11" s="4">
        <f>SUM(TabelaNotas[[#This Row],[Taxa Liquidação]:[Outros]])</f>
        <v>0.33999999999999997</v>
      </c>
      <c r="N11" s="4">
        <f>IF(TabelaNotas[[#This Row],[C/V]]="C",SUM(TabelaNotas[[#This Row],[Valor Operação]:[Taxas]]),TabelaNotas[[#This Row],[Valor Operação]]-TabelaNotas[[#This Row],[Taxas]])</f>
        <v>1117.54</v>
      </c>
      <c r="O11" s="4">
        <v>0</v>
      </c>
      <c r="P11" s="4">
        <v>0.3</v>
      </c>
      <c r="Q11" s="4">
        <v>0</v>
      </c>
      <c r="R11" s="4">
        <v>0</v>
      </c>
      <c r="S11" s="4">
        <v>0</v>
      </c>
      <c r="T11" s="4">
        <v>0.04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</row>
    <row r="12" spans="1:25" x14ac:dyDescent="0.25">
      <c r="A12" s="25" t="s">
        <v>36</v>
      </c>
      <c r="B12" s="25">
        <v>17</v>
      </c>
      <c r="C12" s="3">
        <v>1238</v>
      </c>
      <c r="D12" s="3" t="s">
        <v>24</v>
      </c>
      <c r="E12" s="26">
        <v>44293</v>
      </c>
      <c r="F12" s="26">
        <v>44295</v>
      </c>
      <c r="G12" s="3" t="s">
        <v>25</v>
      </c>
      <c r="H12" s="3" t="s">
        <v>6</v>
      </c>
      <c r="I12" s="3" t="s">
        <v>59</v>
      </c>
      <c r="J12" s="19">
        <v>10</v>
      </c>
      <c r="K12" s="4">
        <v>20.170000000000002</v>
      </c>
      <c r="L12" s="4">
        <f>TabelaNotas[[#This Row],[Preço]]*TabelaNotas[[#This Row],[Quantidade]]</f>
        <v>201.70000000000002</v>
      </c>
      <c r="M12" s="4">
        <f>SUM(TabelaNotas[[#This Row],[Taxa Liquidação]:[Outros]])</f>
        <v>5.58</v>
      </c>
      <c r="N12" s="4">
        <f>IF(TabelaNotas[[#This Row],[C/V]]="C",SUM(TabelaNotas[[#This Row],[Valor Operação]:[Taxas]]),TabelaNotas[[#This Row],[Valor Operação]]-TabelaNotas[[#This Row],[Taxas]])</f>
        <v>207.28000000000003</v>
      </c>
      <c r="O12" s="4">
        <v>0</v>
      </c>
      <c r="P12" s="4">
        <v>7.0000000000000007E-2</v>
      </c>
      <c r="Q12" s="4">
        <v>0</v>
      </c>
      <c r="R12" s="4">
        <v>0</v>
      </c>
      <c r="S12" s="4">
        <v>0</v>
      </c>
      <c r="T12" s="4">
        <v>0.01</v>
      </c>
      <c r="U12" s="4">
        <v>5</v>
      </c>
      <c r="V12" s="4">
        <v>0</v>
      </c>
      <c r="W12" s="4">
        <v>0</v>
      </c>
      <c r="X12" s="4">
        <v>0.5</v>
      </c>
      <c r="Y12" s="4">
        <v>0</v>
      </c>
    </row>
    <row r="13" spans="1:25" x14ac:dyDescent="0.25">
      <c r="A13" s="25" t="s">
        <v>36</v>
      </c>
      <c r="B13" s="25">
        <v>18</v>
      </c>
      <c r="C13" s="3">
        <v>1239</v>
      </c>
      <c r="D13" s="3" t="s">
        <v>24</v>
      </c>
      <c r="E13" s="26">
        <v>44075</v>
      </c>
      <c r="F13" s="26">
        <v>44077</v>
      </c>
      <c r="G13" s="3" t="s">
        <v>25</v>
      </c>
      <c r="H13" s="3" t="s">
        <v>6</v>
      </c>
      <c r="I13" s="3" t="s">
        <v>68</v>
      </c>
      <c r="J13" s="19">
        <v>85</v>
      </c>
      <c r="K13" s="4">
        <v>14.7</v>
      </c>
      <c r="L13" s="4">
        <f>TabelaNotas[[#This Row],[Preço]]*TabelaNotas[[#This Row],[Quantidade]]</f>
        <v>1249.5</v>
      </c>
      <c r="M13" s="4">
        <f>SUM(TabelaNotas[[#This Row],[Taxa Liquidação]:[Outros]])</f>
        <v>0.36000000000000004</v>
      </c>
      <c r="N13" s="4">
        <f>IF(TabelaNotas[[#This Row],[C/V]]="C",SUM(TabelaNotas[[#This Row],[Valor Operação]:[Taxas]]),TabelaNotas[[#This Row],[Valor Operação]]-TabelaNotas[[#This Row],[Taxas]])</f>
        <v>1249.8599999999999</v>
      </c>
      <c r="O13" s="4">
        <v>0</v>
      </c>
      <c r="P13" s="4">
        <v>0.28000000000000003</v>
      </c>
      <c r="Q13" s="4">
        <v>0</v>
      </c>
      <c r="R13" s="4">
        <v>0</v>
      </c>
      <c r="S13" s="4">
        <v>0</v>
      </c>
      <c r="T13" s="4">
        <v>0.08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</row>
    <row r="14" spans="1:25" x14ac:dyDescent="0.25">
      <c r="A14" s="25" t="s">
        <v>36</v>
      </c>
      <c r="B14" s="25">
        <v>21</v>
      </c>
      <c r="C14" s="3">
        <v>1240</v>
      </c>
      <c r="D14" s="3" t="s">
        <v>24</v>
      </c>
      <c r="E14" s="26">
        <v>43922</v>
      </c>
      <c r="F14" s="26">
        <v>43924</v>
      </c>
      <c r="G14" s="3" t="s">
        <v>25</v>
      </c>
      <c r="H14" s="3" t="s">
        <v>6</v>
      </c>
      <c r="I14" s="3" t="s">
        <v>69</v>
      </c>
      <c r="J14" s="19">
        <v>128</v>
      </c>
      <c r="K14" s="4">
        <v>18.079999999999998</v>
      </c>
      <c r="L14" s="4">
        <f>TabelaNotas[[#This Row],[Preço]]*TabelaNotas[[#This Row],[Quantidade]]</f>
        <v>2314.2399999999998</v>
      </c>
      <c r="M14" s="4">
        <f>SUM(TabelaNotas[[#This Row],[Taxa Liquidação]:[Outros]])</f>
        <v>0.55000000000000004</v>
      </c>
      <c r="N14" s="4">
        <f>IF(TabelaNotas[[#This Row],[C/V]]="C",SUM(TabelaNotas[[#This Row],[Valor Operação]:[Taxas]]),TabelaNotas[[#This Row],[Valor Operação]]-TabelaNotas[[#This Row],[Taxas]])</f>
        <v>2314.79</v>
      </c>
      <c r="O14" s="4">
        <v>0</v>
      </c>
      <c r="P14" s="4">
        <v>0.48</v>
      </c>
      <c r="Q14" s="4">
        <v>0</v>
      </c>
      <c r="R14" s="4">
        <v>0</v>
      </c>
      <c r="S14" s="4">
        <v>0</v>
      </c>
      <c r="T14" s="4">
        <v>7.0000000000000007E-2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</row>
    <row r="15" spans="1:25" x14ac:dyDescent="0.25">
      <c r="A15" s="25" t="s">
        <v>36</v>
      </c>
      <c r="B15" s="25">
        <v>28</v>
      </c>
      <c r="C15" s="3">
        <v>1241</v>
      </c>
      <c r="D15" s="3" t="s">
        <v>24</v>
      </c>
      <c r="E15" s="26">
        <v>44306</v>
      </c>
      <c r="F15" s="26">
        <v>44306</v>
      </c>
      <c r="G15" s="3" t="s">
        <v>25</v>
      </c>
      <c r="H15" s="3" t="s">
        <v>42</v>
      </c>
      <c r="I15" s="3" t="s">
        <v>72</v>
      </c>
      <c r="J15" s="25">
        <v>25</v>
      </c>
      <c r="K15" s="4">
        <v>59.22</v>
      </c>
      <c r="L15" s="4">
        <f>TabelaNotas[[#This Row],[Preço]]*TabelaNotas[[#This Row],[Quantidade]]</f>
        <v>1480.5</v>
      </c>
      <c r="M15" s="4">
        <f>SUM(TabelaNotas[[#This Row],[Taxa Liquidação]:[Outros]])</f>
        <v>0.36000000000000004</v>
      </c>
      <c r="N15" s="4">
        <f>IF(TabelaNotas[[#This Row],[C/V]]="C",SUM(TabelaNotas[[#This Row],[Valor Operação]:[Taxas]]),TabelaNotas[[#This Row],[Valor Operação]]-TabelaNotas[[#This Row],[Taxas]])</f>
        <v>1480.86</v>
      </c>
      <c r="O15" s="4">
        <v>0</v>
      </c>
      <c r="P15" s="4">
        <v>0.28000000000000003</v>
      </c>
      <c r="Q15" s="4">
        <v>0</v>
      </c>
      <c r="R15" s="4">
        <v>0</v>
      </c>
      <c r="S15" s="4">
        <v>0</v>
      </c>
      <c r="T15" s="4">
        <v>0.08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</row>
    <row r="16" spans="1:25" x14ac:dyDescent="0.25">
      <c r="A16" s="25" t="s">
        <v>36</v>
      </c>
      <c r="B16" s="25">
        <v>29</v>
      </c>
      <c r="C16" s="3">
        <v>1242</v>
      </c>
      <c r="D16" s="3" t="s">
        <v>24</v>
      </c>
      <c r="E16" s="26">
        <v>44313</v>
      </c>
      <c r="F16" s="26">
        <v>44315</v>
      </c>
      <c r="G16" s="3" t="s">
        <v>26</v>
      </c>
      <c r="H16" s="3" t="s">
        <v>42</v>
      </c>
      <c r="I16" s="3" t="s">
        <v>72</v>
      </c>
      <c r="J16" s="19">
        <v>10</v>
      </c>
      <c r="K16" s="4">
        <v>61.97</v>
      </c>
      <c r="L16" s="4">
        <f>TabelaNotas[[#This Row],[Preço]]*TabelaNotas[[#This Row],[Quantidade]]</f>
        <v>619.70000000000005</v>
      </c>
      <c r="M16" s="4">
        <f>SUM(TabelaNotas[[#This Row],[Taxa Liquidação]:[Outros]])</f>
        <v>0.19999999999999998</v>
      </c>
      <c r="N16" s="4">
        <f>IF(TabelaNotas[[#This Row],[C/V]]="C",SUM(TabelaNotas[[#This Row],[Valor Operação]:[Taxas]]),TabelaNotas[[#This Row],[Valor Operação]]-TabelaNotas[[#This Row],[Taxas]])</f>
        <v>619.5</v>
      </c>
      <c r="O16" s="4">
        <v>0.03</v>
      </c>
      <c r="P16" s="4">
        <v>0.18</v>
      </c>
      <c r="Q16" s="4">
        <v>0</v>
      </c>
      <c r="R16" s="4">
        <v>0</v>
      </c>
      <c r="S16" s="4">
        <v>0</v>
      </c>
      <c r="T16" s="4">
        <v>0.02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</row>
    <row r="17" spans="1:25" x14ac:dyDescent="0.25">
      <c r="A17" s="25" t="s">
        <v>36</v>
      </c>
      <c r="B17" s="25">
        <v>32</v>
      </c>
      <c r="C17" s="3">
        <v>1243</v>
      </c>
      <c r="D17" s="3" t="s">
        <v>24</v>
      </c>
      <c r="E17" s="26">
        <v>44321</v>
      </c>
      <c r="F17" s="26">
        <v>44323</v>
      </c>
      <c r="G17" s="3" t="s">
        <v>25</v>
      </c>
      <c r="H17" s="3" t="s">
        <v>6</v>
      </c>
      <c r="I17" s="3" t="s">
        <v>29</v>
      </c>
      <c r="J17" s="19">
        <v>10</v>
      </c>
      <c r="K17" s="4">
        <v>29</v>
      </c>
      <c r="L17" s="4">
        <f>TabelaNotas[[#This Row],[Preço]]*TabelaNotas[[#This Row],[Quantidade]]</f>
        <v>290</v>
      </c>
      <c r="M17" s="4">
        <f>SUM(TabelaNotas[[#This Row],[Taxa Liquidação]:[Outros]])</f>
        <v>0</v>
      </c>
      <c r="N17" s="4">
        <f>IF(TabelaNotas[[#This Row],[C/V]]="C",SUM(TabelaNotas[[#This Row],[Valor Operação]:[Taxas]]),TabelaNotas[[#This Row],[Valor Operação]]-TabelaNotas[[#This Row],[Taxas]])</f>
        <v>290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</row>
    <row r="18" spans="1:25" x14ac:dyDescent="0.25">
      <c r="A18" s="25" t="s">
        <v>36</v>
      </c>
      <c r="B18" s="25">
        <v>33</v>
      </c>
      <c r="C18" s="3">
        <v>1244</v>
      </c>
      <c r="D18" s="3" t="s">
        <v>24</v>
      </c>
      <c r="E18" s="26">
        <v>44322</v>
      </c>
      <c r="F18" s="26">
        <v>44326</v>
      </c>
      <c r="G18" s="3" t="s">
        <v>26</v>
      </c>
      <c r="H18" s="3" t="s">
        <v>6</v>
      </c>
      <c r="I18" s="3" t="s">
        <v>29</v>
      </c>
      <c r="J18" s="19">
        <v>10</v>
      </c>
      <c r="K18" s="4">
        <v>28.5</v>
      </c>
      <c r="L18" s="4">
        <f>TabelaNotas[[#This Row],[Preço]]*TabelaNotas[[#This Row],[Quantidade]]</f>
        <v>285</v>
      </c>
      <c r="M18" s="4">
        <f>SUM(TabelaNotas[[#This Row],[Taxa Liquidação]:[Outros]])</f>
        <v>0</v>
      </c>
      <c r="N18" s="4">
        <f>IF(TabelaNotas[[#This Row],[C/V]]="C",SUM(TabelaNotas[[#This Row],[Valor Operação]:[Taxas]]),TabelaNotas[[#This Row],[Valor Operação]]-TabelaNotas[[#This Row],[Taxas]])</f>
        <v>285</v>
      </c>
      <c r="O18" s="4">
        <v>0.04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</row>
    <row r="19" spans="1:25" x14ac:dyDescent="0.25">
      <c r="A19" s="25" t="s">
        <v>36</v>
      </c>
      <c r="B19" s="25">
        <v>34</v>
      </c>
      <c r="C19" s="3">
        <v>1245</v>
      </c>
      <c r="D19" s="3" t="s">
        <v>24</v>
      </c>
      <c r="E19" s="26">
        <v>44323</v>
      </c>
      <c r="F19" s="26">
        <v>44327</v>
      </c>
      <c r="G19" s="3" t="s">
        <v>26</v>
      </c>
      <c r="H19" s="3" t="s">
        <v>6</v>
      </c>
      <c r="I19" s="3" t="s">
        <v>29</v>
      </c>
      <c r="J19" s="19">
        <v>10</v>
      </c>
      <c r="K19" s="4">
        <v>31.92</v>
      </c>
      <c r="L19" s="4">
        <f>TabelaNotas[[#This Row],[Preço]]*TabelaNotas[[#This Row],[Quantidade]]</f>
        <v>319.20000000000005</v>
      </c>
      <c r="M19" s="4">
        <f>SUM(TabelaNotas[[#This Row],[Taxa Liquidação]:[Outros]])</f>
        <v>0</v>
      </c>
      <c r="N19" s="4">
        <f>IF(TabelaNotas[[#This Row],[C/V]]="C",SUM(TabelaNotas[[#This Row],[Valor Operação]:[Taxas]]),TabelaNotas[[#This Row],[Valor Operação]]-TabelaNotas[[#This Row],[Taxas]])</f>
        <v>319.20000000000005</v>
      </c>
      <c r="O19" s="4">
        <v>0.05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</row>
    <row r="20" spans="1:25" x14ac:dyDescent="0.25">
      <c r="A20" s="25" t="s">
        <v>36</v>
      </c>
      <c r="B20" s="25">
        <v>35</v>
      </c>
      <c r="C20" s="3">
        <v>1246</v>
      </c>
      <c r="D20" s="3" t="s">
        <v>39</v>
      </c>
      <c r="E20" s="26">
        <v>44326</v>
      </c>
      <c r="F20" s="26">
        <v>44328</v>
      </c>
      <c r="G20" s="3" t="s">
        <v>25</v>
      </c>
      <c r="H20" s="3" t="s">
        <v>6</v>
      </c>
      <c r="I20" s="3" t="s">
        <v>29</v>
      </c>
      <c r="J20" s="19">
        <v>10</v>
      </c>
      <c r="K20" s="4">
        <v>32.17</v>
      </c>
      <c r="L20" s="4">
        <f>TabelaNotas[[#This Row],[Preço]]*TabelaNotas[[#This Row],[Quantidade]]</f>
        <v>321.70000000000005</v>
      </c>
      <c r="M20" s="4">
        <f>SUM(TabelaNotas[[#This Row],[Taxa Liquidação]:[Outros]])</f>
        <v>0</v>
      </c>
      <c r="N20" s="4">
        <f>IF(TabelaNotas[[#This Row],[C/V]]="C",SUM(TabelaNotas[[#This Row],[Valor Operação]:[Taxas]]),TabelaNotas[[#This Row],[Valor Operação]]-TabelaNotas[[#This Row],[Taxas]])</f>
        <v>321.70000000000005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</row>
    <row r="21" spans="1:25" x14ac:dyDescent="0.25">
      <c r="A21" s="25" t="s">
        <v>36</v>
      </c>
      <c r="B21" s="25">
        <v>37</v>
      </c>
      <c r="C21" s="3">
        <v>1247</v>
      </c>
      <c r="D21" s="3" t="s">
        <v>24</v>
      </c>
      <c r="E21" s="26">
        <v>44327</v>
      </c>
      <c r="F21" s="26">
        <v>44329</v>
      </c>
      <c r="G21" s="3" t="s">
        <v>26</v>
      </c>
      <c r="H21" s="3" t="s">
        <v>41</v>
      </c>
      <c r="I21" s="3" t="s">
        <v>61</v>
      </c>
      <c r="J21" s="19">
        <v>10</v>
      </c>
      <c r="K21" s="4">
        <v>95</v>
      </c>
      <c r="L21" s="4">
        <f>TabelaNotas[[#This Row],[Preço]]*TabelaNotas[[#This Row],[Quantidade]]</f>
        <v>950</v>
      </c>
      <c r="M21" s="4">
        <f>SUM(TabelaNotas[[#This Row],[Taxa Liquidação]:[Outros]])</f>
        <v>0.35</v>
      </c>
      <c r="N21" s="4">
        <f>IF(TabelaNotas[[#This Row],[C/V]]="C",SUM(TabelaNotas[[#This Row],[Valor Operação]:[Taxas]]),TabelaNotas[[#This Row],[Valor Operação]]-TabelaNotas[[#This Row],[Taxas]])</f>
        <v>949.65</v>
      </c>
      <c r="O21" s="4">
        <v>0.02</v>
      </c>
      <c r="P21" s="4">
        <v>0.3</v>
      </c>
      <c r="Q21" s="4">
        <v>0</v>
      </c>
      <c r="R21" s="4">
        <v>0</v>
      </c>
      <c r="S21" s="4">
        <v>0</v>
      </c>
      <c r="T21" s="4">
        <v>0.05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</row>
    <row r="22" spans="1:25" x14ac:dyDescent="0.25">
      <c r="A22" s="25" t="s">
        <v>36</v>
      </c>
      <c r="B22" s="25">
        <v>39</v>
      </c>
      <c r="C22" s="3">
        <v>1248</v>
      </c>
      <c r="D22" s="3" t="s">
        <v>39</v>
      </c>
      <c r="E22" s="26">
        <v>44335</v>
      </c>
      <c r="F22" s="26">
        <v>44337</v>
      </c>
      <c r="G22" s="3" t="s">
        <v>25</v>
      </c>
      <c r="H22" s="3" t="s">
        <v>40</v>
      </c>
      <c r="I22" s="3" t="s">
        <v>1594</v>
      </c>
      <c r="J22" s="19">
        <v>18</v>
      </c>
      <c r="K22" s="4">
        <v>121.95</v>
      </c>
      <c r="L22" s="4">
        <f>TabelaNotas[[#This Row],[Preço]]*TabelaNotas[[#This Row],[Quantidade]]</f>
        <v>2195.1</v>
      </c>
      <c r="M22" s="4">
        <f>SUM(TabelaNotas[[#This Row],[Taxa Liquidação]:[Outros]])</f>
        <v>0.55000000000000004</v>
      </c>
      <c r="N22" s="4">
        <f>IF(TabelaNotas[[#This Row],[C/V]]="C",SUM(TabelaNotas[[#This Row],[Valor Operação]:[Taxas]]),TabelaNotas[[#This Row],[Valor Operação]]-TabelaNotas[[#This Row],[Taxas]])</f>
        <v>2195.65</v>
      </c>
      <c r="O22" s="4">
        <v>0</v>
      </c>
      <c r="P22" s="4">
        <v>0.48</v>
      </c>
      <c r="Q22" s="4">
        <v>0</v>
      </c>
      <c r="R22" s="4">
        <v>0</v>
      </c>
      <c r="S22" s="4">
        <v>0</v>
      </c>
      <c r="T22" s="4">
        <v>7.0000000000000007E-2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</row>
    <row r="23" spans="1:25" x14ac:dyDescent="0.25">
      <c r="A23" s="25" t="s">
        <v>36</v>
      </c>
      <c r="B23" s="25">
        <v>40</v>
      </c>
      <c r="C23" s="3">
        <v>1249</v>
      </c>
      <c r="D23" s="3" t="s">
        <v>24</v>
      </c>
      <c r="E23" s="26">
        <v>44391</v>
      </c>
      <c r="F23" s="26">
        <v>44391</v>
      </c>
      <c r="G23" s="3" t="s">
        <v>26</v>
      </c>
      <c r="H23" s="3" t="s">
        <v>6</v>
      </c>
      <c r="I23" s="3" t="s">
        <v>60</v>
      </c>
      <c r="J23" s="19">
        <v>186</v>
      </c>
      <c r="K23" s="4">
        <v>25.14</v>
      </c>
      <c r="L23" s="4">
        <f>TabelaNotas[[#This Row],[Preço]]*TabelaNotas[[#This Row],[Quantidade]]</f>
        <v>4676.04</v>
      </c>
      <c r="M23" s="4">
        <f>SUM(TabelaNotas[[#This Row],[Taxa Liquidação]:[Outros]])</f>
        <v>0.55000000000000004</v>
      </c>
      <c r="N23" s="4">
        <f>IF(TabelaNotas[[#This Row],[C/V]]="C",SUM(TabelaNotas[[#This Row],[Valor Operação]:[Taxas]]),TabelaNotas[[#This Row],[Valor Operação]]-TabelaNotas[[#This Row],[Taxas]])</f>
        <v>4675.49</v>
      </c>
      <c r="O23" s="4">
        <v>0.25</v>
      </c>
      <c r="P23" s="4">
        <v>0.48</v>
      </c>
      <c r="Q23" s="4">
        <v>0</v>
      </c>
      <c r="R23" s="4">
        <v>0</v>
      </c>
      <c r="S23" s="4">
        <v>0</v>
      </c>
      <c r="T23" s="4">
        <v>7.0000000000000007E-2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</row>
    <row r="24" spans="1:25" x14ac:dyDescent="0.25">
      <c r="A24" s="25" t="s">
        <v>36</v>
      </c>
      <c r="B24" s="25">
        <v>42</v>
      </c>
      <c r="C24" s="3">
        <v>1250</v>
      </c>
      <c r="D24" s="3" t="s">
        <v>24</v>
      </c>
      <c r="E24" s="26">
        <v>44392</v>
      </c>
      <c r="F24" s="26">
        <v>44392</v>
      </c>
      <c r="G24" s="3" t="s">
        <v>25</v>
      </c>
      <c r="H24" s="3" t="s">
        <v>42</v>
      </c>
      <c r="I24" s="3" t="s">
        <v>1850</v>
      </c>
      <c r="J24" s="19">
        <v>15</v>
      </c>
      <c r="K24" s="4" vm="1">
        <v>66.099999999999994</v>
      </c>
      <c r="L24" s="4">
        <f>TabelaNotas[[#This Row],[Preço]]*TabelaNotas[[#This Row],[Quantidade]]</f>
        <v>991.49999999999989</v>
      </c>
      <c r="M24" s="4">
        <f>SUM(TabelaNotas[[#This Row],[Taxa Liquidação]:[Outros]])</f>
        <v>0.55000000000000004</v>
      </c>
      <c r="N24" s="4">
        <f>IF(TabelaNotas[[#This Row],[C/V]]="C",SUM(TabelaNotas[[#This Row],[Valor Operação]:[Taxas]]),TabelaNotas[[#This Row],[Valor Operação]]-TabelaNotas[[#This Row],[Taxas]])</f>
        <v>992.04999999999984</v>
      </c>
      <c r="O24" s="4">
        <v>0</v>
      </c>
      <c r="P24" s="4">
        <v>0.48</v>
      </c>
      <c r="Q24" s="4">
        <v>0</v>
      </c>
      <c r="R24" s="4">
        <v>0</v>
      </c>
      <c r="S24" s="4">
        <v>0</v>
      </c>
      <c r="T24" s="4">
        <v>7.0000000000000007E-2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</row>
    <row r="25" spans="1:25" x14ac:dyDescent="0.25">
      <c r="A25" s="25" t="s">
        <v>36</v>
      </c>
      <c r="B25" s="25">
        <v>43</v>
      </c>
      <c r="C25" s="3">
        <v>1250</v>
      </c>
      <c r="D25" s="3" t="s">
        <v>24</v>
      </c>
      <c r="E25" s="26">
        <v>44392</v>
      </c>
      <c r="F25" s="26">
        <v>44392</v>
      </c>
      <c r="G25" s="3" t="s">
        <v>25</v>
      </c>
      <c r="H25" s="3" t="s">
        <v>40</v>
      </c>
      <c r="I25" s="3" t="s">
        <v>338</v>
      </c>
      <c r="J25" s="19">
        <v>20</v>
      </c>
      <c r="K25" s="4" vm="2">
        <v>142.75</v>
      </c>
      <c r="L25" s="4">
        <f>TabelaNotas[[#This Row],[Preço]]*TabelaNotas[[#This Row],[Quantidade]]</f>
        <v>2855</v>
      </c>
      <c r="M25" s="4">
        <f>SUM(TabelaNotas[[#This Row],[Taxa Liquidação]:[Outros]])</f>
        <v>0.55000000000000004</v>
      </c>
      <c r="N25" s="4">
        <f>IF(TabelaNotas[[#This Row],[C/V]]="C",SUM(TabelaNotas[[#This Row],[Valor Operação]:[Taxas]]),TabelaNotas[[#This Row],[Valor Operação]]-TabelaNotas[[#This Row],[Taxas]])</f>
        <v>2855.55</v>
      </c>
      <c r="O25" s="4">
        <v>0</v>
      </c>
      <c r="P25" s="4">
        <v>0.48</v>
      </c>
      <c r="Q25" s="4">
        <v>0</v>
      </c>
      <c r="R25" s="4">
        <v>0</v>
      </c>
      <c r="S25" s="4">
        <v>0</v>
      </c>
      <c r="T25" s="4">
        <v>7.0000000000000007E-2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</row>
    <row r="26" spans="1:25" x14ac:dyDescent="0.25">
      <c r="A26" s="25" t="s">
        <v>36</v>
      </c>
      <c r="B26" s="25">
        <v>44</v>
      </c>
      <c r="C26" s="3">
        <v>1250</v>
      </c>
      <c r="D26" s="3" t="s">
        <v>24</v>
      </c>
      <c r="E26" s="26">
        <v>44392</v>
      </c>
      <c r="F26" s="26">
        <v>44392</v>
      </c>
      <c r="G26" s="3" t="s">
        <v>25</v>
      </c>
      <c r="H26" s="3" t="s">
        <v>41</v>
      </c>
      <c r="I26" s="3" t="s">
        <v>966</v>
      </c>
      <c r="J26" s="19">
        <v>25</v>
      </c>
      <c r="K26" s="4" vm="3">
        <v>169.78</v>
      </c>
      <c r="L26" s="4">
        <f>TabelaNotas[[#This Row],[Preço]]*TabelaNotas[[#This Row],[Quantidade]]</f>
        <v>4244.5</v>
      </c>
      <c r="M26" s="4">
        <f>SUM(TabelaNotas[[#This Row],[Taxa Liquidação]:[Outros]])</f>
        <v>0</v>
      </c>
      <c r="N26" s="4">
        <f>IF(TabelaNotas[[#This Row],[C/V]]="C",SUM(TabelaNotas[[#This Row],[Valor Operação]:[Taxas]]),TabelaNotas[[#This Row],[Valor Operação]]-TabelaNotas[[#This Row],[Taxas]])</f>
        <v>4244.5</v>
      </c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1:25" x14ac:dyDescent="0.25">
      <c r="A27" s="25" t="s">
        <v>36</v>
      </c>
      <c r="B27" s="25">
        <v>45</v>
      </c>
      <c r="C27" s="3">
        <v>1251</v>
      </c>
      <c r="D27" s="3" t="s">
        <v>24</v>
      </c>
      <c r="E27" s="26">
        <v>44393</v>
      </c>
      <c r="F27" s="26">
        <v>44393</v>
      </c>
      <c r="G27" s="3" t="s">
        <v>25</v>
      </c>
      <c r="H27" s="3" t="s">
        <v>6</v>
      </c>
      <c r="I27" s="3" t="s">
        <v>69</v>
      </c>
      <c r="J27" s="19">
        <v>50</v>
      </c>
      <c r="K27" s="4">
        <v>24.98</v>
      </c>
      <c r="L27" s="4">
        <f>TabelaNotas[[#This Row],[Preço]]*TabelaNotas[[#This Row],[Quantidade]]</f>
        <v>1249</v>
      </c>
      <c r="M27" s="4">
        <f>SUM(TabelaNotas[[#This Row],[Taxa Liquidação]:[Outros]])</f>
        <v>0.28000000000000003</v>
      </c>
      <c r="N27" s="4">
        <f>IF(TabelaNotas[[#This Row],[C/V]]="C",SUM(TabelaNotas[[#This Row],[Valor Operação]:[Taxas]]),TabelaNotas[[#This Row],[Valor Operação]]-TabelaNotas[[#This Row],[Taxas]])</f>
        <v>1249.28</v>
      </c>
      <c r="O27" s="4">
        <v>0</v>
      </c>
      <c r="P27" s="4">
        <v>0.21</v>
      </c>
      <c r="Q27" s="4">
        <v>0</v>
      </c>
      <c r="R27" s="4">
        <v>0</v>
      </c>
      <c r="S27" s="4">
        <v>0</v>
      </c>
      <c r="T27" s="4">
        <v>7.0000000000000007E-2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</row>
    <row r="28" spans="1:25" x14ac:dyDescent="0.25">
      <c r="A28" s="25" t="s">
        <v>36</v>
      </c>
      <c r="B28" s="25">
        <v>50</v>
      </c>
      <c r="C28" s="3">
        <v>1252</v>
      </c>
      <c r="D28" s="3" t="s">
        <v>24</v>
      </c>
      <c r="E28" s="26">
        <v>44394</v>
      </c>
      <c r="F28" s="26">
        <v>44394</v>
      </c>
      <c r="G28" s="3" t="s">
        <v>26</v>
      </c>
      <c r="H28" s="3" t="s">
        <v>6</v>
      </c>
      <c r="I28" s="3" t="s">
        <v>68</v>
      </c>
      <c r="J28" s="19">
        <v>10</v>
      </c>
      <c r="K28" s="4">
        <v>15.1</v>
      </c>
      <c r="L28" s="4">
        <f>TabelaNotas[[#This Row],[Preço]]*TabelaNotas[[#This Row],[Quantidade]]</f>
        <v>151</v>
      </c>
      <c r="M28" s="4">
        <f>SUM(TabelaNotas[[#This Row],[Taxa Liquidação]:[Outros]])</f>
        <v>0.15000000000000002</v>
      </c>
      <c r="N28" s="4">
        <f>IF(TabelaNotas[[#This Row],[C/V]]="C",SUM(TabelaNotas[[#This Row],[Valor Operação]:[Taxas]]),TabelaNotas[[#This Row],[Valor Operação]]-TabelaNotas[[#This Row],[Taxas]])</f>
        <v>150.85</v>
      </c>
      <c r="O28" s="4">
        <v>0.12</v>
      </c>
      <c r="P28" s="4">
        <v>0.1</v>
      </c>
      <c r="Q28" s="4">
        <v>0</v>
      </c>
      <c r="R28" s="4">
        <v>0</v>
      </c>
      <c r="S28" s="4">
        <v>0</v>
      </c>
      <c r="T28" s="4">
        <v>0.05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</row>
  </sheetData>
  <dataValidations count="1">
    <dataValidation type="list" allowBlank="1" showInputMessage="1" showErrorMessage="1" sqref="G2:G28" xr:uid="{BE9E814B-15CE-496C-9175-ED8F6AA1C7D9}">
      <formula1>"C,V"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EC693-CA8D-4873-8EDC-6B29F0874C61}">
          <x14:formula1>
            <xm:f>Opções!$A$2:$A$8</xm:f>
          </x14:formula1>
          <xm:sqref>H2:H28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EDFED-B5F9-4B26-B723-A35B891DDCA1}">
  <sheetPr codeName="Planilha2"/>
  <dimension ref="A1:Y9"/>
  <sheetViews>
    <sheetView showGridLines="0" workbookViewId="0">
      <selection activeCell="L8" sqref="L8"/>
    </sheetView>
  </sheetViews>
  <sheetFormatPr defaultRowHeight="15" x14ac:dyDescent="0.25"/>
  <cols>
    <col min="1" max="1" width="14" style="3" customWidth="1"/>
    <col min="2" max="2" width="5.140625" style="19" bestFit="1" customWidth="1"/>
    <col min="3" max="3" width="7.5703125" style="3" bestFit="1" customWidth="1"/>
    <col min="4" max="4" width="11.7109375" style="3" bestFit="1" customWidth="1"/>
    <col min="5" max="5" width="13.85546875" style="3" bestFit="1" customWidth="1"/>
    <col min="6" max="6" width="17.28515625" style="3" bestFit="1" customWidth="1"/>
    <col min="7" max="7" width="6.5703125" style="3" bestFit="1" customWidth="1"/>
    <col min="8" max="8" width="7.140625" style="3" bestFit="1" customWidth="1"/>
    <col min="9" max="9" width="8.5703125" style="3" bestFit="1" customWidth="1"/>
    <col min="10" max="10" width="13.7109375" style="3" bestFit="1" customWidth="1"/>
    <col min="11" max="11" width="9.5703125" style="3" bestFit="1" customWidth="1"/>
    <col min="12" max="12" width="17" style="3" bestFit="1" customWidth="1"/>
    <col min="13" max="13" width="8.5703125" style="3" bestFit="1" customWidth="1"/>
    <col min="14" max="14" width="15" style="3" bestFit="1" customWidth="1"/>
    <col min="15" max="15" width="9.42578125" style="3" bestFit="1" customWidth="1"/>
    <col min="16" max="16" width="17.28515625" style="3" bestFit="1" customWidth="1"/>
    <col min="17" max="17" width="15" style="3" bestFit="1" customWidth="1"/>
    <col min="18" max="18" width="21.140625" style="3" bestFit="1" customWidth="1"/>
    <col min="19" max="19" width="13.42578125" style="3" bestFit="1" customWidth="1"/>
    <col min="20" max="20" width="15.7109375" style="3" bestFit="1" customWidth="1"/>
    <col min="21" max="21" width="18.5703125" style="3" bestFit="1" customWidth="1"/>
    <col min="22" max="22" width="16" style="3" bestFit="1" customWidth="1"/>
    <col min="23" max="23" width="15.5703125" style="3" bestFit="1" customWidth="1"/>
    <col min="24" max="24" width="11.42578125" style="3" bestFit="1" customWidth="1"/>
    <col min="25" max="25" width="9.28515625" style="3" bestFit="1" customWidth="1"/>
    <col min="26" max="26" width="13.28515625" style="3" customWidth="1"/>
    <col min="27" max="16384" width="9.140625" style="3"/>
  </cols>
  <sheetData>
    <row r="1" spans="1:25" x14ac:dyDescent="0.25">
      <c r="A1" s="43" t="s">
        <v>35</v>
      </c>
      <c r="B1" s="87" t="s">
        <v>30</v>
      </c>
      <c r="C1" s="43" t="s">
        <v>23</v>
      </c>
      <c r="D1" s="43" t="s">
        <v>0</v>
      </c>
      <c r="E1" s="88" t="s">
        <v>1</v>
      </c>
      <c r="F1" s="88" t="s">
        <v>2</v>
      </c>
      <c r="G1" s="43" t="s">
        <v>3</v>
      </c>
      <c r="H1" s="43" t="s">
        <v>5</v>
      </c>
      <c r="I1" s="43" t="s">
        <v>4</v>
      </c>
      <c r="J1" s="43" t="s">
        <v>7</v>
      </c>
      <c r="K1" s="43" t="s">
        <v>8</v>
      </c>
      <c r="L1" s="43" t="s">
        <v>9</v>
      </c>
      <c r="M1" s="43" t="s">
        <v>10</v>
      </c>
      <c r="N1" s="43" t="s">
        <v>11</v>
      </c>
      <c r="O1" s="43" t="s">
        <v>12</v>
      </c>
      <c r="P1" s="43" t="s">
        <v>13</v>
      </c>
      <c r="Q1" s="43" t="s">
        <v>14</v>
      </c>
      <c r="R1" s="43" t="s">
        <v>15</v>
      </c>
      <c r="S1" s="43" t="s">
        <v>16</v>
      </c>
      <c r="T1" s="43" t="s">
        <v>17</v>
      </c>
      <c r="U1" s="43" t="s">
        <v>18</v>
      </c>
      <c r="V1" s="43" t="s">
        <v>19</v>
      </c>
      <c r="W1" s="43" t="s">
        <v>20</v>
      </c>
      <c r="X1" s="43" t="s">
        <v>21</v>
      </c>
      <c r="Y1" s="43" t="s">
        <v>22</v>
      </c>
    </row>
    <row r="2" spans="1:25" x14ac:dyDescent="0.25">
      <c r="A2" s="3" t="s">
        <v>36</v>
      </c>
      <c r="B2" s="19">
        <v>12</v>
      </c>
      <c r="C2" s="3">
        <v>1237</v>
      </c>
      <c r="D2" s="42" t="s">
        <v>24</v>
      </c>
      <c r="E2" s="26">
        <v>44272</v>
      </c>
      <c r="F2" s="26">
        <v>44274</v>
      </c>
      <c r="G2" s="3" t="s">
        <v>25</v>
      </c>
      <c r="H2" s="3" t="s">
        <v>6</v>
      </c>
      <c r="I2" s="3" t="s">
        <v>62</v>
      </c>
      <c r="J2" s="3">
        <v>73</v>
      </c>
      <c r="K2" s="4">
        <v>29.55</v>
      </c>
      <c r="L2" s="4">
        <f>TabelaNotasDayTrade[[#This Row],[Preço]]*TabelaNotasDayTrade[[#This Row],[Quantidade]]</f>
        <v>2157.15</v>
      </c>
      <c r="M2" s="4">
        <f>SUM(TabelaNotasDayTrade[[#This Row],[Taxa Liquidação]:[Outros]])</f>
        <v>0.6</v>
      </c>
      <c r="N2" s="4">
        <f>IF(TabelaNotasDayTrade[[#This Row],[C/V]]="C",SUM(TabelaNotasDayTrade[[#This Row],[Valor Operação]:[Taxas]]),TabelaNotasDayTrade[[#This Row],[Valor Operação]]-TabelaNotasDayTrade[[#This Row],[Taxas]])</f>
        <v>2157.75</v>
      </c>
      <c r="O2" s="4">
        <v>0</v>
      </c>
      <c r="P2" s="4">
        <v>0.52</v>
      </c>
      <c r="Q2" s="4">
        <v>0</v>
      </c>
      <c r="R2" s="4">
        <v>0</v>
      </c>
      <c r="S2" s="4">
        <v>0</v>
      </c>
      <c r="T2" s="4">
        <v>0.08</v>
      </c>
      <c r="U2" s="4">
        <v>0</v>
      </c>
      <c r="V2" s="4">
        <v>0</v>
      </c>
      <c r="W2" s="4">
        <v>0</v>
      </c>
      <c r="X2" s="4">
        <v>0</v>
      </c>
      <c r="Y2" s="4">
        <v>0</v>
      </c>
    </row>
    <row r="3" spans="1:25" x14ac:dyDescent="0.25">
      <c r="A3" s="3" t="s">
        <v>36</v>
      </c>
      <c r="B3" s="19">
        <v>13</v>
      </c>
      <c r="C3" s="3">
        <v>1237</v>
      </c>
      <c r="D3" s="42" t="s">
        <v>24</v>
      </c>
      <c r="E3" s="26">
        <v>44272</v>
      </c>
      <c r="F3" s="26">
        <v>44274</v>
      </c>
      <c r="G3" s="3" t="s">
        <v>26</v>
      </c>
      <c r="H3" s="3" t="s">
        <v>6</v>
      </c>
      <c r="I3" s="3" t="s">
        <v>62</v>
      </c>
      <c r="J3" s="3">
        <v>73</v>
      </c>
      <c r="K3" s="4">
        <v>30.19</v>
      </c>
      <c r="L3" s="4">
        <f>TabelaNotasDayTrade[[#This Row],[Preço]]*TabelaNotasDayTrade[[#This Row],[Quantidade]]</f>
        <v>2203.87</v>
      </c>
      <c r="M3" s="4">
        <f>SUM(TabelaNotasDayTrade[[#This Row],[Taxa Liquidação]:[Outros]])</f>
        <v>0.6</v>
      </c>
      <c r="N3" s="4">
        <f>IF(TabelaNotasDayTrade[[#This Row],[C/V]]="C",SUM(TabelaNotasDayTrade[[#This Row],[Valor Operação]:[Taxas]]),TabelaNotasDayTrade[[#This Row],[Valor Operação]]-TabelaNotasDayTrade[[#This Row],[Taxas]])</f>
        <v>2203.27</v>
      </c>
      <c r="O3" s="4">
        <v>0.46</v>
      </c>
      <c r="P3" s="4">
        <v>0.52</v>
      </c>
      <c r="Q3" s="4">
        <v>0</v>
      </c>
      <c r="R3" s="4">
        <v>0</v>
      </c>
      <c r="S3" s="4">
        <v>0</v>
      </c>
      <c r="T3" s="4">
        <v>0.08</v>
      </c>
      <c r="U3" s="4">
        <v>0</v>
      </c>
      <c r="V3" s="4">
        <v>0</v>
      </c>
      <c r="W3" s="4">
        <v>0</v>
      </c>
      <c r="X3" s="4">
        <v>0</v>
      </c>
      <c r="Y3" s="4">
        <v>0</v>
      </c>
    </row>
    <row r="4" spans="1:25" x14ac:dyDescent="0.25">
      <c r="A4" s="3" t="s">
        <v>36</v>
      </c>
      <c r="B4" s="19">
        <v>19</v>
      </c>
      <c r="C4" s="3">
        <v>1238</v>
      </c>
      <c r="D4" s="42" t="s">
        <v>24</v>
      </c>
      <c r="E4" s="26">
        <v>44293</v>
      </c>
      <c r="F4" s="26">
        <v>44295</v>
      </c>
      <c r="G4" s="3" t="s">
        <v>25</v>
      </c>
      <c r="H4" s="3" t="s">
        <v>6</v>
      </c>
      <c r="I4" s="3" t="s">
        <v>65</v>
      </c>
      <c r="J4" s="3">
        <v>53</v>
      </c>
      <c r="K4" s="4">
        <v>23.9</v>
      </c>
      <c r="L4" s="4">
        <f>TabelaNotasDayTrade[[#This Row],[Preço]]*TabelaNotasDayTrade[[#This Row],[Quantidade]]</f>
        <v>1266.6999999999998</v>
      </c>
      <c r="M4" s="4">
        <f>SUM(TabelaNotasDayTrade[[#This Row],[Taxa Liquidação]:[Outros]])</f>
        <v>5.98</v>
      </c>
      <c r="N4" s="4">
        <f>IF(TabelaNotasDayTrade[[#This Row],[C/V]]="C",SUM(TabelaNotasDayTrade[[#This Row],[Valor Operação]:[Taxas]]),TabelaNotasDayTrade[[#This Row],[Valor Operação]]-TabelaNotasDayTrade[[#This Row],[Taxas]])</f>
        <v>1272.6799999999998</v>
      </c>
      <c r="O4" s="4">
        <v>0</v>
      </c>
      <c r="P4" s="4">
        <v>0.42</v>
      </c>
      <c r="Q4" s="4">
        <v>0</v>
      </c>
      <c r="R4" s="4">
        <v>0</v>
      </c>
      <c r="S4" s="4">
        <v>0</v>
      </c>
      <c r="T4" s="4">
        <v>0.06</v>
      </c>
      <c r="U4" s="4">
        <v>5</v>
      </c>
      <c r="V4" s="4">
        <v>0</v>
      </c>
      <c r="W4" s="4">
        <v>0</v>
      </c>
      <c r="X4" s="4">
        <v>0.5</v>
      </c>
      <c r="Y4" s="4">
        <v>0</v>
      </c>
    </row>
    <row r="5" spans="1:25" x14ac:dyDescent="0.25">
      <c r="A5" s="3" t="s">
        <v>36</v>
      </c>
      <c r="B5" s="19">
        <v>20</v>
      </c>
      <c r="C5" s="3">
        <v>1238</v>
      </c>
      <c r="D5" s="42" t="s">
        <v>24</v>
      </c>
      <c r="E5" s="26">
        <v>44293</v>
      </c>
      <c r="F5" s="26">
        <v>44295</v>
      </c>
      <c r="G5" s="3" t="s">
        <v>26</v>
      </c>
      <c r="H5" s="3" t="s">
        <v>6</v>
      </c>
      <c r="I5" s="3" t="s">
        <v>65</v>
      </c>
      <c r="J5" s="3">
        <v>53</v>
      </c>
      <c r="K5" s="4">
        <v>23.7</v>
      </c>
      <c r="L5" s="4">
        <f>TabelaNotasDayTrade[[#This Row],[Preço]]*TabelaNotasDayTrade[[#This Row],[Quantidade]]</f>
        <v>1256.0999999999999</v>
      </c>
      <c r="M5" s="4">
        <f>SUM(TabelaNotasDayTrade[[#This Row],[Taxa Liquidação]:[Outros]])</f>
        <v>5.96</v>
      </c>
      <c r="N5" s="4">
        <f>IF(TabelaNotasDayTrade[[#This Row],[C/V]]="C",SUM(TabelaNotasDayTrade[[#This Row],[Valor Operação]:[Taxas]]),TabelaNotasDayTrade[[#This Row],[Valor Operação]]-TabelaNotasDayTrade[[#This Row],[Taxas]])</f>
        <v>1250.1399999999999</v>
      </c>
      <c r="O5" s="4">
        <v>0.5</v>
      </c>
      <c r="P5" s="4">
        <v>0.41</v>
      </c>
      <c r="Q5" s="4">
        <v>0</v>
      </c>
      <c r="R5" s="4">
        <v>0</v>
      </c>
      <c r="S5" s="4">
        <v>0</v>
      </c>
      <c r="T5" s="4">
        <v>0.05</v>
      </c>
      <c r="U5" s="4">
        <v>5</v>
      </c>
      <c r="V5" s="4">
        <v>0</v>
      </c>
      <c r="W5" s="4">
        <v>0</v>
      </c>
      <c r="X5" s="4">
        <v>0.5</v>
      </c>
      <c r="Y5" s="4">
        <v>0</v>
      </c>
    </row>
    <row r="6" spans="1:25" x14ac:dyDescent="0.25">
      <c r="A6" s="3" t="s">
        <v>36</v>
      </c>
      <c r="B6" s="19">
        <v>30</v>
      </c>
      <c r="C6" s="3">
        <v>1243</v>
      </c>
      <c r="D6" s="42" t="s">
        <v>24</v>
      </c>
      <c r="E6" s="26">
        <v>44313</v>
      </c>
      <c r="F6" s="26">
        <v>44315</v>
      </c>
      <c r="G6" s="3" t="s">
        <v>25</v>
      </c>
      <c r="H6" s="3" t="s">
        <v>6</v>
      </c>
      <c r="I6" s="3" t="s">
        <v>75</v>
      </c>
      <c r="J6" s="3">
        <v>152</v>
      </c>
      <c r="K6" s="4">
        <v>17</v>
      </c>
      <c r="L6" s="4">
        <f>TabelaNotasDayTrade[[#This Row],[Preço]]*TabelaNotasDayTrade[[#This Row],[Quantidade]]</f>
        <v>2584</v>
      </c>
      <c r="M6" s="4">
        <f>SUM(TabelaNotasDayTrade[[#This Row],[Taxa Liquidação]:[Outros]])</f>
        <v>0</v>
      </c>
      <c r="N6" s="4">
        <f>IF(TabelaNotasDayTrade[[#This Row],[C/V]]="C",SUM(TabelaNotasDayTrade[[#This Row],[Valor Operação]:[Taxas]]),TabelaNotasDayTrade[[#This Row],[Valor Operação]]-TabelaNotasDayTrade[[#This Row],[Taxas]])</f>
        <v>2584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</row>
    <row r="7" spans="1:25" x14ac:dyDescent="0.25">
      <c r="A7" s="3" t="s">
        <v>36</v>
      </c>
      <c r="B7" s="19">
        <v>31</v>
      </c>
      <c r="C7" s="3">
        <v>1243</v>
      </c>
      <c r="D7" s="42" t="s">
        <v>24</v>
      </c>
      <c r="E7" s="26">
        <v>44313</v>
      </c>
      <c r="F7" s="26">
        <v>44315</v>
      </c>
      <c r="G7" s="3" t="s">
        <v>26</v>
      </c>
      <c r="H7" s="3" t="s">
        <v>6</v>
      </c>
      <c r="I7" s="3" t="s">
        <v>75</v>
      </c>
      <c r="J7" s="3">
        <v>152</v>
      </c>
      <c r="K7" s="4">
        <v>15.98</v>
      </c>
      <c r="L7" s="4">
        <f>TabelaNotasDayTrade[[#This Row],[Preço]]*TabelaNotasDayTrade[[#This Row],[Quantidade]]</f>
        <v>2428.96</v>
      </c>
      <c r="M7" s="4">
        <f>SUM(TabelaNotasDayTrade[[#This Row],[Taxa Liquidação]:[Outros]])</f>
        <v>0</v>
      </c>
      <c r="N7" s="4">
        <f>IF(TabelaNotasDayTrade[[#This Row],[C/V]]="C",SUM(TabelaNotasDayTrade[[#This Row],[Valor Operação]:[Taxas]]),TabelaNotasDayTrade[[#This Row],[Valor Operação]]-TabelaNotasDayTrade[[#This Row],[Taxas]])</f>
        <v>2428.96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</row>
    <row r="8" spans="1:25" x14ac:dyDescent="0.25">
      <c r="A8" s="4" t="s">
        <v>36</v>
      </c>
      <c r="B8" s="25">
        <v>46</v>
      </c>
      <c r="C8" s="3">
        <v>1251</v>
      </c>
      <c r="D8" s="42" t="s">
        <v>24</v>
      </c>
      <c r="E8" s="26">
        <v>44393</v>
      </c>
      <c r="F8" s="26">
        <v>44393</v>
      </c>
      <c r="G8" s="3" t="s">
        <v>25</v>
      </c>
      <c r="H8" s="3" t="s">
        <v>6</v>
      </c>
      <c r="I8" s="3" t="s">
        <v>69</v>
      </c>
      <c r="J8" s="3">
        <v>198</v>
      </c>
      <c r="K8" s="4">
        <v>24.98</v>
      </c>
      <c r="L8" s="4">
        <f>TabelaNotasDayTrade[[#This Row],[Preço]]*TabelaNotasDayTrade[[#This Row],[Quantidade]]</f>
        <v>4946.04</v>
      </c>
      <c r="M8" s="4">
        <f>SUM(TabelaNotasDayTrade[[#This Row],[Taxa Liquidação]:[Outros]])</f>
        <v>1.0899999999999999</v>
      </c>
      <c r="N8" s="4">
        <f>IF(TabelaNotasDayTrade[[#This Row],[C/V]]="C",SUM(TabelaNotasDayTrade[[#This Row],[Valor Operação]:[Taxas]]),TabelaNotasDayTrade[[#This Row],[Valor Operação]]-TabelaNotasDayTrade[[#This Row],[Taxas]])</f>
        <v>4947.13</v>
      </c>
      <c r="O8" s="4">
        <v>0</v>
      </c>
      <c r="P8" s="4">
        <v>0.83</v>
      </c>
      <c r="Q8" s="4">
        <v>0</v>
      </c>
      <c r="R8" s="4">
        <v>0</v>
      </c>
      <c r="S8" s="4">
        <v>0</v>
      </c>
      <c r="T8" s="4">
        <v>0.26</v>
      </c>
      <c r="U8" s="4">
        <v>0</v>
      </c>
      <c r="V8" s="4">
        <v>0</v>
      </c>
      <c r="W8" s="4">
        <v>0</v>
      </c>
      <c r="X8" s="4">
        <v>0</v>
      </c>
      <c r="Y8" s="4">
        <v>0</v>
      </c>
    </row>
    <row r="9" spans="1:25" x14ac:dyDescent="0.25">
      <c r="A9" s="4" t="s">
        <v>36</v>
      </c>
      <c r="B9" s="25">
        <v>47</v>
      </c>
      <c r="C9" s="3">
        <v>1251</v>
      </c>
      <c r="D9" s="42" t="s">
        <v>24</v>
      </c>
      <c r="E9" s="26">
        <v>44393</v>
      </c>
      <c r="F9" s="26">
        <v>44393</v>
      </c>
      <c r="G9" s="3" t="s">
        <v>26</v>
      </c>
      <c r="H9" s="3" t="s">
        <v>6</v>
      </c>
      <c r="I9" s="3" t="s">
        <v>69</v>
      </c>
      <c r="J9" s="3">
        <v>198</v>
      </c>
      <c r="K9" s="4">
        <v>25.31</v>
      </c>
      <c r="L9" s="4">
        <f>TabelaNotasDayTrade[[#This Row],[Preço]]*TabelaNotasDayTrade[[#This Row],[Quantidade]]</f>
        <v>5011.38</v>
      </c>
      <c r="M9" s="4">
        <f>SUM(TabelaNotasDayTrade[[#This Row],[Taxa Liquidação]:[Outros]])</f>
        <v>1.1099999999999999</v>
      </c>
      <c r="N9" s="4">
        <f>IF(TabelaNotasDayTrade[[#This Row],[C/V]]="C",SUM(TabelaNotasDayTrade[[#This Row],[Valor Operação]:[Taxas]]),TabelaNotasDayTrade[[#This Row],[Valor Operação]]-TabelaNotasDayTrade[[#This Row],[Taxas]])</f>
        <v>5010.2700000000004</v>
      </c>
      <c r="O9" s="4">
        <v>0.54</v>
      </c>
      <c r="P9" s="89">
        <v>0.85</v>
      </c>
      <c r="Q9" s="89">
        <v>0</v>
      </c>
      <c r="R9" s="89">
        <v>0</v>
      </c>
      <c r="S9" s="89">
        <v>0</v>
      </c>
      <c r="T9" s="89">
        <v>0.26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</row>
  </sheetData>
  <dataValidations count="1">
    <dataValidation type="list" allowBlank="1" showInputMessage="1" showErrorMessage="1" sqref="G2:G9" xr:uid="{16EC9CF1-6D68-4F59-AAB7-E2C0297F3763}">
      <formula1>"C,V"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4AC87-B877-4EBC-85B7-A3DF5C4CEB12}">
          <x14:formula1>
            <xm:f>Opções!$A$2:$A$6</xm:f>
          </x14:formula1>
          <xm:sqref>H2:H9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F165F-7600-44C9-ACD4-DDA7A9E1E204}">
  <sheetPr codeName="Planilha3"/>
  <dimension ref="A1:Q81"/>
  <sheetViews>
    <sheetView showGridLines="0" zoomScaleNormal="100" workbookViewId="0">
      <pane ySplit="3" topLeftCell="A71" activePane="bottomLeft" state="frozen"/>
      <selection pane="bottomLeft" activeCell="F82" sqref="F82"/>
    </sheetView>
  </sheetViews>
  <sheetFormatPr defaultRowHeight="15" x14ac:dyDescent="0.25"/>
  <cols>
    <col min="1" max="1" width="7.42578125" style="3" bestFit="1" customWidth="1"/>
    <col min="2" max="2" width="10.7109375" style="3" bestFit="1" customWidth="1"/>
    <col min="3" max="3" width="16.140625" style="3" bestFit="1" customWidth="1"/>
    <col min="4" max="4" width="19.5703125" style="3" bestFit="1" customWidth="1"/>
    <col min="5" max="5" width="17.42578125" style="3" bestFit="1" customWidth="1"/>
    <col min="6" max="6" width="24.140625" style="3" bestFit="1" customWidth="1"/>
    <col min="7" max="7" width="16" style="3" bestFit="1" customWidth="1"/>
    <col min="8" max="8" width="13.28515625" style="4" bestFit="1" customWidth="1"/>
    <col min="9" max="9" width="43.7109375" style="3" bestFit="1" customWidth="1"/>
    <col min="11" max="12" width="12.42578125" bestFit="1" customWidth="1"/>
    <col min="13" max="14" width="10.28515625" customWidth="1"/>
    <col min="15" max="15" width="11.42578125" customWidth="1"/>
    <col min="16" max="16" width="10.28515625" customWidth="1"/>
  </cols>
  <sheetData>
    <row r="1" spans="1:9" x14ac:dyDescent="0.25">
      <c r="A1" s="27" t="s">
        <v>31</v>
      </c>
      <c r="B1" s="28" t="s">
        <v>39</v>
      </c>
      <c r="C1" s="27" t="s">
        <v>34</v>
      </c>
      <c r="D1" s="29">
        <f>SUMIFS(TabelaMovimentacoes[Valor],TabelaMovimentacoes[Conta],B1)</f>
        <v>2485.15</v>
      </c>
    </row>
    <row r="3" spans="1:9" x14ac:dyDescent="0.25">
      <c r="A3" s="3" t="s">
        <v>30</v>
      </c>
      <c r="B3" s="3" t="s">
        <v>31</v>
      </c>
      <c r="C3" s="3" t="s">
        <v>1</v>
      </c>
      <c r="D3" s="3" t="s">
        <v>2</v>
      </c>
      <c r="E3" s="3" t="s">
        <v>32</v>
      </c>
      <c r="F3" s="3" t="s">
        <v>5</v>
      </c>
      <c r="G3" s="3" t="s">
        <v>7</v>
      </c>
      <c r="H3" s="4" t="s">
        <v>33</v>
      </c>
      <c r="I3" s="3" t="s">
        <v>71</v>
      </c>
    </row>
    <row r="4" spans="1:9" x14ac:dyDescent="0.25">
      <c r="A4" s="3">
        <v>21</v>
      </c>
      <c r="B4" s="3" t="s">
        <v>24</v>
      </c>
      <c r="C4" s="26">
        <v>43922</v>
      </c>
      <c r="D4" s="26">
        <v>43924</v>
      </c>
      <c r="E4" s="3" t="s">
        <v>69</v>
      </c>
      <c r="F4" s="3" t="s">
        <v>6</v>
      </c>
      <c r="G4" s="3">
        <v>128</v>
      </c>
      <c r="H4" s="4">
        <v>-2314.79</v>
      </c>
    </row>
    <row r="5" spans="1:9" x14ac:dyDescent="0.25">
      <c r="A5" s="3">
        <v>24</v>
      </c>
      <c r="B5" s="3" t="s">
        <v>24</v>
      </c>
      <c r="C5" s="26">
        <v>43922</v>
      </c>
      <c r="D5" s="26">
        <v>43922</v>
      </c>
      <c r="E5" s="3" t="s">
        <v>37</v>
      </c>
      <c r="F5" s="3" t="s">
        <v>38</v>
      </c>
      <c r="H5" s="4">
        <v>5000</v>
      </c>
    </row>
    <row r="6" spans="1:9" x14ac:dyDescent="0.25">
      <c r="A6" s="3">
        <v>25</v>
      </c>
      <c r="B6" s="3" t="s">
        <v>39</v>
      </c>
      <c r="C6" s="26">
        <v>43935</v>
      </c>
      <c r="D6" s="26">
        <v>43938</v>
      </c>
      <c r="E6" s="3" t="s">
        <v>69</v>
      </c>
      <c r="F6" s="3" t="s">
        <v>6</v>
      </c>
      <c r="G6" s="3">
        <v>12</v>
      </c>
      <c r="H6" s="4">
        <v>-59.52</v>
      </c>
      <c r="I6" s="3" t="s">
        <v>1871</v>
      </c>
    </row>
    <row r="7" spans="1:9" x14ac:dyDescent="0.25">
      <c r="A7" s="3">
        <v>26</v>
      </c>
      <c r="B7" s="3" t="s">
        <v>39</v>
      </c>
      <c r="C7" s="26">
        <v>43935</v>
      </c>
      <c r="D7" s="26">
        <v>43938</v>
      </c>
      <c r="E7" s="3" t="s">
        <v>69</v>
      </c>
      <c r="F7" s="3" t="s">
        <v>70</v>
      </c>
      <c r="H7" s="4">
        <v>59.52</v>
      </c>
      <c r="I7" s="3" t="s">
        <v>1871</v>
      </c>
    </row>
    <row r="8" spans="1:9" x14ac:dyDescent="0.25">
      <c r="A8" s="3">
        <v>18</v>
      </c>
      <c r="B8" s="3" t="s">
        <v>24</v>
      </c>
      <c r="C8" s="26">
        <v>44075</v>
      </c>
      <c r="D8" s="26">
        <v>44077</v>
      </c>
      <c r="E8" s="3" t="s">
        <v>68</v>
      </c>
      <c r="F8" s="3" t="s">
        <v>6</v>
      </c>
      <c r="G8" s="3">
        <v>85</v>
      </c>
      <c r="H8" s="4">
        <v>-1249.8599999999999</v>
      </c>
    </row>
    <row r="9" spans="1:9" x14ac:dyDescent="0.25">
      <c r="A9" s="3">
        <v>14</v>
      </c>
      <c r="B9" s="3" t="s">
        <v>24</v>
      </c>
      <c r="C9" s="26">
        <v>44105</v>
      </c>
      <c r="D9" s="26">
        <v>44109</v>
      </c>
      <c r="E9" s="3" t="s">
        <v>60</v>
      </c>
      <c r="F9" s="3" t="s">
        <v>6</v>
      </c>
      <c r="G9" s="3">
        <v>100</v>
      </c>
      <c r="H9" s="4">
        <v>-2298.5500000000002</v>
      </c>
    </row>
    <row r="10" spans="1:9" x14ac:dyDescent="0.25">
      <c r="A10" s="3">
        <v>15</v>
      </c>
      <c r="B10" s="3" t="s">
        <v>24</v>
      </c>
      <c r="C10" s="26">
        <v>44105</v>
      </c>
      <c r="D10" s="26">
        <v>44105</v>
      </c>
      <c r="E10" s="3" t="s">
        <v>37</v>
      </c>
      <c r="F10" s="3" t="s">
        <v>38</v>
      </c>
      <c r="H10" s="4">
        <v>1000</v>
      </c>
    </row>
    <row r="11" spans="1:9" x14ac:dyDescent="0.25">
      <c r="A11" s="3">
        <v>1</v>
      </c>
      <c r="B11" s="3" t="s">
        <v>24</v>
      </c>
      <c r="C11" s="26">
        <v>44197</v>
      </c>
      <c r="D11" s="26">
        <v>44197</v>
      </c>
      <c r="E11" s="3" t="s">
        <v>37</v>
      </c>
      <c r="F11" s="3" t="s">
        <v>38</v>
      </c>
      <c r="H11" s="4">
        <v>5000</v>
      </c>
    </row>
    <row r="12" spans="1:9" x14ac:dyDescent="0.25">
      <c r="A12" s="3">
        <v>2</v>
      </c>
      <c r="B12" s="3" t="s">
        <v>39</v>
      </c>
      <c r="C12" s="26">
        <v>44197</v>
      </c>
      <c r="D12" s="26">
        <v>44197</v>
      </c>
      <c r="E12" s="3" t="s">
        <v>37</v>
      </c>
      <c r="F12" s="3" t="s">
        <v>38</v>
      </c>
      <c r="H12" s="4">
        <v>5000</v>
      </c>
    </row>
    <row r="13" spans="1:9" x14ac:dyDescent="0.25">
      <c r="A13" s="3">
        <v>41</v>
      </c>
      <c r="B13" s="3" t="s">
        <v>24</v>
      </c>
      <c r="C13" s="26">
        <v>44197</v>
      </c>
      <c r="D13" s="26">
        <v>44197</v>
      </c>
      <c r="E13" s="3" t="s">
        <v>1899</v>
      </c>
      <c r="F13" s="3" t="s">
        <v>6</v>
      </c>
      <c r="G13" s="3">
        <v>50</v>
      </c>
      <c r="H13" s="4">
        <v>-500</v>
      </c>
    </row>
    <row r="14" spans="1:9" x14ac:dyDescent="0.25">
      <c r="A14" s="3">
        <v>3</v>
      </c>
      <c r="B14" s="3" t="s">
        <v>24</v>
      </c>
      <c r="C14" s="26">
        <v>44215</v>
      </c>
      <c r="D14" s="26">
        <v>44217</v>
      </c>
      <c r="E14" s="3" t="s">
        <v>28</v>
      </c>
      <c r="F14" s="3" t="s">
        <v>6</v>
      </c>
      <c r="G14" s="3">
        <v>35</v>
      </c>
      <c r="H14" s="4">
        <v>-822.04</v>
      </c>
    </row>
    <row r="15" spans="1:9" x14ac:dyDescent="0.25">
      <c r="A15" s="3">
        <v>4</v>
      </c>
      <c r="B15" s="3" t="s">
        <v>24</v>
      </c>
      <c r="C15" s="26">
        <v>44215</v>
      </c>
      <c r="D15" s="26">
        <v>44217</v>
      </c>
      <c r="E15" s="3" t="s">
        <v>29</v>
      </c>
      <c r="F15" s="3" t="s">
        <v>6</v>
      </c>
      <c r="G15" s="3">
        <v>25</v>
      </c>
      <c r="H15" s="4">
        <v>-824.26</v>
      </c>
    </row>
    <row r="16" spans="1:9" x14ac:dyDescent="0.25">
      <c r="A16" s="3">
        <v>5</v>
      </c>
      <c r="B16" s="3" t="s">
        <v>24</v>
      </c>
      <c r="C16" s="26">
        <v>44216</v>
      </c>
      <c r="D16" s="26">
        <v>44218</v>
      </c>
      <c r="E16" s="3" t="s">
        <v>27</v>
      </c>
      <c r="F16" s="3" t="s">
        <v>6</v>
      </c>
      <c r="G16" s="3">
        <v>64</v>
      </c>
      <c r="H16" s="4">
        <v>-1662.59</v>
      </c>
    </row>
    <row r="17" spans="1:8" x14ac:dyDescent="0.25">
      <c r="A17" s="3">
        <v>6</v>
      </c>
      <c r="B17" s="3" t="s">
        <v>24</v>
      </c>
      <c r="C17" s="26">
        <v>44216</v>
      </c>
      <c r="D17" s="26">
        <v>44218</v>
      </c>
      <c r="E17" s="3" t="s">
        <v>28</v>
      </c>
      <c r="F17" s="3" t="s">
        <v>6</v>
      </c>
      <c r="G17" s="3">
        <v>-35</v>
      </c>
      <c r="H17" s="4">
        <v>822.04</v>
      </c>
    </row>
    <row r="18" spans="1:8" x14ac:dyDescent="0.25">
      <c r="A18" s="3">
        <v>6</v>
      </c>
      <c r="B18" s="3" t="s">
        <v>24</v>
      </c>
      <c r="C18" s="26">
        <v>44216</v>
      </c>
      <c r="D18" s="26">
        <v>44218</v>
      </c>
      <c r="E18" s="3" t="s">
        <v>28</v>
      </c>
      <c r="F18" s="3" t="s">
        <v>44</v>
      </c>
      <c r="G18" s="3">
        <v>-35</v>
      </c>
      <c r="H18" s="4">
        <v>-19.730000000000018</v>
      </c>
    </row>
    <row r="19" spans="1:8" x14ac:dyDescent="0.25">
      <c r="A19" s="3">
        <v>6</v>
      </c>
      <c r="B19" s="3" t="s">
        <v>24</v>
      </c>
      <c r="C19" s="26">
        <v>44216</v>
      </c>
      <c r="D19" s="26">
        <v>44218</v>
      </c>
      <c r="E19" s="3" t="s">
        <v>28</v>
      </c>
      <c r="F19" s="3" t="s">
        <v>45</v>
      </c>
      <c r="G19" s="3">
        <v>-35</v>
      </c>
      <c r="H19" s="4">
        <v>-0.04</v>
      </c>
    </row>
    <row r="20" spans="1:8" x14ac:dyDescent="0.25">
      <c r="A20" s="3">
        <v>7</v>
      </c>
      <c r="B20" s="3" t="s">
        <v>24</v>
      </c>
      <c r="C20" s="26">
        <v>44216</v>
      </c>
      <c r="D20" s="26">
        <v>44218</v>
      </c>
      <c r="E20" s="3" t="s">
        <v>29</v>
      </c>
      <c r="F20" s="3" t="s">
        <v>6</v>
      </c>
      <c r="G20" s="3">
        <v>-25</v>
      </c>
      <c r="H20" s="4">
        <v>824.26</v>
      </c>
    </row>
    <row r="21" spans="1:8" x14ac:dyDescent="0.25">
      <c r="A21" s="3">
        <v>7</v>
      </c>
      <c r="B21" s="3" t="s">
        <v>24</v>
      </c>
      <c r="C21" s="26">
        <v>44216</v>
      </c>
      <c r="D21" s="26">
        <v>44218</v>
      </c>
      <c r="E21" s="3" t="s">
        <v>29</v>
      </c>
      <c r="F21" s="3" t="s">
        <v>44</v>
      </c>
      <c r="H21" s="4">
        <v>30.73</v>
      </c>
    </row>
    <row r="22" spans="1:8" x14ac:dyDescent="0.25">
      <c r="A22" s="3">
        <v>7</v>
      </c>
      <c r="B22" s="3" t="s">
        <v>24</v>
      </c>
      <c r="C22" s="26">
        <v>44216</v>
      </c>
      <c r="D22" s="26">
        <v>44218</v>
      </c>
      <c r="E22" s="3" t="s">
        <v>29</v>
      </c>
      <c r="F22" s="3" t="s">
        <v>45</v>
      </c>
      <c r="H22" s="4">
        <v>-0.04</v>
      </c>
    </row>
    <row r="23" spans="1:8" x14ac:dyDescent="0.25">
      <c r="A23" s="3">
        <v>8</v>
      </c>
      <c r="B23" s="3" t="s">
        <v>24</v>
      </c>
      <c r="C23" s="26">
        <v>44265</v>
      </c>
      <c r="D23" s="26">
        <v>44267</v>
      </c>
      <c r="E23" s="3" t="s">
        <v>59</v>
      </c>
      <c r="F23" s="3" t="s">
        <v>6</v>
      </c>
      <c r="G23" s="3">
        <v>55</v>
      </c>
      <c r="H23" s="4">
        <v>-1056.8499999999999</v>
      </c>
    </row>
    <row r="24" spans="1:8" x14ac:dyDescent="0.25">
      <c r="A24" s="3">
        <v>9</v>
      </c>
      <c r="B24" s="3" t="s">
        <v>24</v>
      </c>
      <c r="C24" s="26">
        <v>44271</v>
      </c>
      <c r="D24" s="26">
        <v>44273</v>
      </c>
      <c r="E24" s="3" t="s">
        <v>60</v>
      </c>
      <c r="F24" s="3" t="s">
        <v>6</v>
      </c>
      <c r="G24" s="3">
        <v>86</v>
      </c>
      <c r="H24" s="4">
        <v>-2049.12</v>
      </c>
    </row>
    <row r="25" spans="1:8" x14ac:dyDescent="0.25">
      <c r="A25" s="3">
        <v>10</v>
      </c>
      <c r="B25" s="3" t="s">
        <v>24</v>
      </c>
      <c r="C25" s="26">
        <v>44271</v>
      </c>
      <c r="D25" s="26">
        <v>44273</v>
      </c>
      <c r="E25" s="3" t="s">
        <v>61</v>
      </c>
      <c r="F25" s="3" t="s">
        <v>41</v>
      </c>
      <c r="G25" s="3">
        <v>15</v>
      </c>
      <c r="H25" s="4">
        <v>-1228.55</v>
      </c>
    </row>
    <row r="26" spans="1:8" x14ac:dyDescent="0.25">
      <c r="A26" s="3">
        <v>11</v>
      </c>
      <c r="B26" s="3" t="s">
        <v>24</v>
      </c>
      <c r="C26" s="26">
        <v>44271</v>
      </c>
      <c r="D26" s="26">
        <v>44271</v>
      </c>
      <c r="E26" s="3" t="s">
        <v>37</v>
      </c>
      <c r="F26" s="3" t="s">
        <v>38</v>
      </c>
      <c r="H26" s="4">
        <v>2500</v>
      </c>
    </row>
    <row r="27" spans="1:8" x14ac:dyDescent="0.25">
      <c r="A27" s="3">
        <v>12</v>
      </c>
      <c r="B27" s="3" t="s">
        <v>24</v>
      </c>
      <c r="C27" s="26">
        <v>44272</v>
      </c>
      <c r="D27" s="26">
        <v>44274</v>
      </c>
      <c r="E27" s="3" t="s">
        <v>62</v>
      </c>
      <c r="F27" s="3" t="s">
        <v>6</v>
      </c>
      <c r="G27" s="3">
        <v>73</v>
      </c>
      <c r="H27" s="4">
        <v>-2157.75</v>
      </c>
    </row>
    <row r="28" spans="1:8" x14ac:dyDescent="0.25">
      <c r="A28" s="3">
        <v>13</v>
      </c>
      <c r="B28" s="3" t="s">
        <v>24</v>
      </c>
      <c r="C28" s="26">
        <v>44272</v>
      </c>
      <c r="D28" s="26">
        <v>44274</v>
      </c>
      <c r="E28" s="3" t="s">
        <v>62</v>
      </c>
      <c r="F28" s="3" t="s">
        <v>6</v>
      </c>
      <c r="G28" s="3">
        <v>-73</v>
      </c>
      <c r="H28" s="4">
        <v>2157.75</v>
      </c>
    </row>
    <row r="29" spans="1:8" x14ac:dyDescent="0.25">
      <c r="A29" s="3">
        <v>13</v>
      </c>
      <c r="B29" s="3" t="s">
        <v>24</v>
      </c>
      <c r="C29" s="26">
        <v>44272</v>
      </c>
      <c r="D29" s="26">
        <v>44274</v>
      </c>
      <c r="E29" s="3" t="s">
        <v>62</v>
      </c>
      <c r="F29" s="3" t="s">
        <v>63</v>
      </c>
      <c r="H29" s="4">
        <v>45.52</v>
      </c>
    </row>
    <row r="30" spans="1:8" x14ac:dyDescent="0.25">
      <c r="A30" s="3">
        <v>13</v>
      </c>
      <c r="B30" s="3" t="s">
        <v>24</v>
      </c>
      <c r="C30" s="26">
        <v>44272</v>
      </c>
      <c r="D30" s="26">
        <v>44274</v>
      </c>
      <c r="E30" s="3" t="s">
        <v>62</v>
      </c>
      <c r="F30" s="3" t="s">
        <v>64</v>
      </c>
      <c r="H30" s="4">
        <v>-0.46</v>
      </c>
    </row>
    <row r="31" spans="1:8" x14ac:dyDescent="0.25">
      <c r="A31" s="3">
        <v>16</v>
      </c>
      <c r="B31" s="3" t="s">
        <v>24</v>
      </c>
      <c r="C31" s="26">
        <v>44279</v>
      </c>
      <c r="D31" s="26">
        <v>44281</v>
      </c>
      <c r="E31" s="3" t="s">
        <v>65</v>
      </c>
      <c r="F31" s="3" t="s">
        <v>6</v>
      </c>
      <c r="G31" s="3">
        <v>49</v>
      </c>
      <c r="H31" s="4">
        <v>-1117.54</v>
      </c>
    </row>
    <row r="32" spans="1:8" x14ac:dyDescent="0.25">
      <c r="A32" s="3">
        <v>17</v>
      </c>
      <c r="B32" s="3" t="s">
        <v>24</v>
      </c>
      <c r="C32" s="26">
        <v>44293</v>
      </c>
      <c r="D32" s="26">
        <v>44295</v>
      </c>
      <c r="E32" s="3" t="s">
        <v>59</v>
      </c>
      <c r="F32" s="3" t="s">
        <v>6</v>
      </c>
      <c r="G32" s="3">
        <v>10</v>
      </c>
      <c r="H32" s="4">
        <v>-207.28</v>
      </c>
    </row>
    <row r="33" spans="1:17" x14ac:dyDescent="0.25">
      <c r="A33" s="3">
        <v>19</v>
      </c>
      <c r="B33" s="3" t="s">
        <v>24</v>
      </c>
      <c r="C33" s="26">
        <v>44293</v>
      </c>
      <c r="D33" s="26">
        <v>44295</v>
      </c>
      <c r="E33" s="3" t="s">
        <v>65</v>
      </c>
      <c r="F33" s="3" t="s">
        <v>6</v>
      </c>
      <c r="G33" s="3">
        <v>53</v>
      </c>
      <c r="H33" s="4">
        <v>-1272.68</v>
      </c>
    </row>
    <row r="34" spans="1:17" x14ac:dyDescent="0.25">
      <c r="A34" s="3">
        <v>20</v>
      </c>
      <c r="B34" s="3" t="s">
        <v>24</v>
      </c>
      <c r="C34" s="26">
        <v>44293</v>
      </c>
      <c r="D34" s="26">
        <v>44295</v>
      </c>
      <c r="E34" s="3" t="s">
        <v>65</v>
      </c>
      <c r="F34" s="3" t="s">
        <v>6</v>
      </c>
      <c r="G34" s="3">
        <v>-53</v>
      </c>
      <c r="H34" s="4">
        <v>1272.68</v>
      </c>
    </row>
    <row r="35" spans="1:17" x14ac:dyDescent="0.25">
      <c r="A35" s="3">
        <v>20</v>
      </c>
      <c r="B35" s="3" t="s">
        <v>24</v>
      </c>
      <c r="C35" s="26">
        <v>44293</v>
      </c>
      <c r="D35" s="26">
        <v>44295</v>
      </c>
      <c r="E35" s="3" t="s">
        <v>65</v>
      </c>
      <c r="F35" s="3" t="s">
        <v>63</v>
      </c>
      <c r="H35" s="4">
        <v>-22.54</v>
      </c>
    </row>
    <row r="36" spans="1:17" x14ac:dyDescent="0.25">
      <c r="A36" s="3">
        <v>20</v>
      </c>
      <c r="B36" s="3" t="s">
        <v>24</v>
      </c>
      <c r="C36" s="26">
        <v>44293</v>
      </c>
      <c r="D36" s="26">
        <v>44295</v>
      </c>
      <c r="E36" s="3" t="s">
        <v>65</v>
      </c>
      <c r="F36" s="3" t="s">
        <v>64</v>
      </c>
      <c r="H36" s="4">
        <v>-0.5</v>
      </c>
    </row>
    <row r="37" spans="1:17" x14ac:dyDescent="0.25">
      <c r="A37" s="3">
        <v>27</v>
      </c>
      <c r="B37" s="3" t="s">
        <v>24</v>
      </c>
      <c r="C37" s="26">
        <v>44306</v>
      </c>
      <c r="D37" s="26">
        <v>44306</v>
      </c>
      <c r="E37" s="3" t="s">
        <v>37</v>
      </c>
      <c r="F37" s="3" t="s">
        <v>38</v>
      </c>
      <c r="H37" s="4">
        <v>1500</v>
      </c>
    </row>
    <row r="38" spans="1:17" x14ac:dyDescent="0.25">
      <c r="A38" s="3">
        <v>28</v>
      </c>
      <c r="B38" s="3" t="s">
        <v>24</v>
      </c>
      <c r="C38" s="26">
        <v>44306</v>
      </c>
      <c r="D38" s="26">
        <v>44306</v>
      </c>
      <c r="E38" s="3" t="s">
        <v>72</v>
      </c>
      <c r="F38" s="3" t="s">
        <v>42</v>
      </c>
      <c r="G38" s="3">
        <v>25</v>
      </c>
      <c r="H38" s="4">
        <v>-1480.86</v>
      </c>
    </row>
    <row r="39" spans="1:17" x14ac:dyDescent="0.25">
      <c r="A39" s="3">
        <v>29</v>
      </c>
      <c r="B39" s="3" t="s">
        <v>24</v>
      </c>
      <c r="C39" s="26">
        <v>44313</v>
      </c>
      <c r="D39" s="26">
        <v>44315</v>
      </c>
      <c r="E39" s="3" t="s">
        <v>72</v>
      </c>
      <c r="F39" s="3" t="s">
        <v>42</v>
      </c>
      <c r="G39" s="3">
        <v>-10</v>
      </c>
      <c r="H39" s="4">
        <v>592.34</v>
      </c>
    </row>
    <row r="40" spans="1:17" x14ac:dyDescent="0.25">
      <c r="A40" s="3">
        <v>29</v>
      </c>
      <c r="B40" s="3" t="s">
        <v>24</v>
      </c>
      <c r="C40" s="26">
        <v>44313</v>
      </c>
      <c r="D40" s="26">
        <v>44315</v>
      </c>
      <c r="E40" s="3" t="s">
        <v>72</v>
      </c>
      <c r="F40" s="3" t="s">
        <v>73</v>
      </c>
      <c r="H40" s="4">
        <v>27.16</v>
      </c>
    </row>
    <row r="41" spans="1:17" x14ac:dyDescent="0.25">
      <c r="A41" s="3">
        <v>29</v>
      </c>
      <c r="B41" s="3" t="s">
        <v>24</v>
      </c>
      <c r="C41" s="26">
        <v>44313</v>
      </c>
      <c r="D41" s="26">
        <v>44315</v>
      </c>
      <c r="E41" s="3" t="s">
        <v>72</v>
      </c>
      <c r="F41" s="3" t="s">
        <v>74</v>
      </c>
      <c r="H41" s="4">
        <v>-0.03</v>
      </c>
    </row>
    <row r="42" spans="1:17" x14ac:dyDescent="0.25">
      <c r="A42" s="3">
        <v>30</v>
      </c>
      <c r="B42" s="3" t="s">
        <v>24</v>
      </c>
      <c r="C42" s="26">
        <v>44313</v>
      </c>
      <c r="D42" s="26">
        <v>44315</v>
      </c>
      <c r="E42" s="3" t="s">
        <v>75</v>
      </c>
      <c r="F42" s="3" t="s">
        <v>6</v>
      </c>
      <c r="G42" s="3">
        <v>152</v>
      </c>
      <c r="H42" s="4">
        <v>-2584.6</v>
      </c>
    </row>
    <row r="43" spans="1:17" x14ac:dyDescent="0.25">
      <c r="A43" s="3">
        <v>31</v>
      </c>
      <c r="B43" s="3" t="s">
        <v>24</v>
      </c>
      <c r="C43" s="26">
        <v>44313</v>
      </c>
      <c r="D43" s="26">
        <v>44315</v>
      </c>
      <c r="E43" s="3" t="s">
        <v>75</v>
      </c>
      <c r="F43" s="3" t="s">
        <v>6</v>
      </c>
      <c r="G43" s="3">
        <v>-152</v>
      </c>
      <c r="H43" s="4">
        <v>2584.6</v>
      </c>
    </row>
    <row r="44" spans="1:17" x14ac:dyDescent="0.25">
      <c r="A44" s="3">
        <v>31</v>
      </c>
      <c r="B44" s="3" t="s">
        <v>24</v>
      </c>
      <c r="C44" s="26">
        <v>44313</v>
      </c>
      <c r="D44" s="26">
        <v>44315</v>
      </c>
      <c r="E44" s="3" t="s">
        <v>75</v>
      </c>
      <c r="F44" s="3" t="s">
        <v>63</v>
      </c>
      <c r="H44" s="4">
        <v>-156.24</v>
      </c>
      <c r="N44" s="22"/>
      <c r="Q44" s="2"/>
    </row>
    <row r="45" spans="1:17" x14ac:dyDescent="0.25">
      <c r="A45" s="3">
        <v>31</v>
      </c>
      <c r="B45" s="3" t="s">
        <v>24</v>
      </c>
      <c r="C45" s="26">
        <v>44313</v>
      </c>
      <c r="D45" s="26">
        <v>44315</v>
      </c>
      <c r="E45" s="3" t="s">
        <v>75</v>
      </c>
      <c r="F45" s="3" t="s">
        <v>64</v>
      </c>
      <c r="H45" s="4">
        <v>-0.46</v>
      </c>
      <c r="L45" s="22"/>
      <c r="M45" s="22"/>
      <c r="N45" s="22"/>
      <c r="O45" s="22"/>
      <c r="P45" s="22"/>
      <c r="Q45" s="22"/>
    </row>
    <row r="46" spans="1:17" x14ac:dyDescent="0.25">
      <c r="A46" s="3">
        <v>32</v>
      </c>
      <c r="B46" s="3" t="s">
        <v>24</v>
      </c>
      <c r="C46" s="26">
        <v>44321</v>
      </c>
      <c r="D46" s="26">
        <v>44323</v>
      </c>
      <c r="E46" s="3" t="s">
        <v>29</v>
      </c>
      <c r="F46" s="3" t="s">
        <v>6</v>
      </c>
      <c r="G46" s="3">
        <v>10</v>
      </c>
      <c r="H46" s="4">
        <v>-290</v>
      </c>
      <c r="P46" s="2"/>
    </row>
    <row r="47" spans="1:17" x14ac:dyDescent="0.25">
      <c r="A47" s="3">
        <v>33</v>
      </c>
      <c r="B47" s="3" t="s">
        <v>24</v>
      </c>
      <c r="C47" s="26">
        <v>44322</v>
      </c>
      <c r="D47" s="26">
        <v>44326</v>
      </c>
      <c r="E47" s="3" t="s">
        <v>29</v>
      </c>
      <c r="F47" s="3" t="s">
        <v>6</v>
      </c>
      <c r="G47" s="3">
        <v>-10</v>
      </c>
      <c r="H47" s="4">
        <v>290</v>
      </c>
    </row>
    <row r="48" spans="1:17" x14ac:dyDescent="0.25">
      <c r="A48" s="3">
        <v>33</v>
      </c>
      <c r="B48" s="3" t="s">
        <v>24</v>
      </c>
      <c r="C48" s="26">
        <v>44322</v>
      </c>
      <c r="D48" s="26">
        <v>44326</v>
      </c>
      <c r="E48" s="3" t="s">
        <v>29</v>
      </c>
      <c r="F48" s="3" t="s">
        <v>44</v>
      </c>
      <c r="H48" s="4">
        <v>-5</v>
      </c>
      <c r="L48" s="42"/>
      <c r="M48" s="22"/>
      <c r="P48" s="2"/>
    </row>
    <row r="49" spans="1:16" x14ac:dyDescent="0.25">
      <c r="A49" s="3">
        <v>33</v>
      </c>
      <c r="B49" s="3" t="s">
        <v>24</v>
      </c>
      <c r="C49" s="26">
        <v>44322</v>
      </c>
      <c r="D49" s="26">
        <v>44326</v>
      </c>
      <c r="E49" s="3" t="s">
        <v>29</v>
      </c>
      <c r="F49" s="3" t="s">
        <v>45</v>
      </c>
      <c r="H49" s="4">
        <v>0</v>
      </c>
      <c r="I49" s="3" t="s">
        <v>91</v>
      </c>
      <c r="L49" s="22"/>
      <c r="M49" s="22"/>
      <c r="N49" s="22"/>
      <c r="O49" s="22"/>
      <c r="P49" s="22"/>
    </row>
    <row r="50" spans="1:16" x14ac:dyDescent="0.25">
      <c r="A50" s="3">
        <v>34</v>
      </c>
      <c r="B50" s="3" t="s">
        <v>24</v>
      </c>
      <c r="C50" s="26">
        <v>44323</v>
      </c>
      <c r="D50" s="26">
        <v>44327</v>
      </c>
      <c r="E50" s="3" t="s">
        <v>29</v>
      </c>
      <c r="F50" s="3" t="s">
        <v>6</v>
      </c>
      <c r="G50" s="3">
        <v>-10</v>
      </c>
      <c r="H50" s="4">
        <v>319.2</v>
      </c>
      <c r="O50" s="2"/>
    </row>
    <row r="51" spans="1:16" x14ac:dyDescent="0.25">
      <c r="A51" s="3">
        <v>34</v>
      </c>
      <c r="B51" s="3" t="s">
        <v>24</v>
      </c>
      <c r="C51" s="26">
        <v>44323</v>
      </c>
      <c r="D51" s="26">
        <v>44327</v>
      </c>
      <c r="E51" s="3" t="s">
        <v>29</v>
      </c>
      <c r="F51" s="3" t="s">
        <v>45</v>
      </c>
      <c r="H51" s="4">
        <v>-0.05</v>
      </c>
    </row>
    <row r="52" spans="1:16" x14ac:dyDescent="0.25">
      <c r="A52" s="3">
        <v>35</v>
      </c>
      <c r="B52" s="3" t="s">
        <v>39</v>
      </c>
      <c r="C52" s="26">
        <v>44326</v>
      </c>
      <c r="D52" s="26">
        <v>44328</v>
      </c>
      <c r="E52" s="3" t="s">
        <v>29</v>
      </c>
      <c r="F52" s="3" t="s">
        <v>6</v>
      </c>
      <c r="G52" s="3">
        <v>10</v>
      </c>
      <c r="H52" s="4">
        <v>-319.2</v>
      </c>
    </row>
    <row r="53" spans="1:16" x14ac:dyDescent="0.25">
      <c r="A53" s="3">
        <v>35</v>
      </c>
      <c r="B53" s="3" t="s">
        <v>24</v>
      </c>
      <c r="C53" s="26">
        <v>44326</v>
      </c>
      <c r="D53" s="26">
        <v>44328</v>
      </c>
      <c r="E53" s="3" t="s">
        <v>29</v>
      </c>
      <c r="F53" s="3" t="s">
        <v>44</v>
      </c>
      <c r="H53" s="4">
        <v>-2.5</v>
      </c>
    </row>
    <row r="54" spans="1:16" x14ac:dyDescent="0.25">
      <c r="A54" s="3">
        <v>36</v>
      </c>
      <c r="B54" s="3" t="s">
        <v>24</v>
      </c>
      <c r="C54" s="26">
        <v>44327</v>
      </c>
      <c r="D54" s="26">
        <v>44327</v>
      </c>
      <c r="E54" s="3" t="s">
        <v>92</v>
      </c>
      <c r="F54" s="3" t="s">
        <v>93</v>
      </c>
      <c r="G54" s="3">
        <v>0.05</v>
      </c>
      <c r="H54" s="4">
        <v>-8500</v>
      </c>
    </row>
    <row r="55" spans="1:16" x14ac:dyDescent="0.25">
      <c r="A55" s="3">
        <v>37</v>
      </c>
      <c r="B55" s="3" t="s">
        <v>24</v>
      </c>
      <c r="C55" s="26">
        <v>44327</v>
      </c>
      <c r="D55" s="26">
        <v>44329</v>
      </c>
      <c r="E55" s="3" t="s">
        <v>61</v>
      </c>
      <c r="F55" s="3" t="s">
        <v>41</v>
      </c>
      <c r="G55" s="3">
        <v>-10</v>
      </c>
      <c r="H55" s="4">
        <v>819.03</v>
      </c>
    </row>
    <row r="56" spans="1:16" x14ac:dyDescent="0.25">
      <c r="A56" s="3">
        <v>37</v>
      </c>
      <c r="B56" s="3" t="s">
        <v>24</v>
      </c>
      <c r="C56" s="26">
        <v>44327</v>
      </c>
      <c r="D56" s="26">
        <v>44329</v>
      </c>
      <c r="E56" s="3" t="s">
        <v>61</v>
      </c>
      <c r="F56" s="3" t="s">
        <v>122</v>
      </c>
      <c r="H56" s="4">
        <v>130.62</v>
      </c>
    </row>
    <row r="57" spans="1:16" x14ac:dyDescent="0.25">
      <c r="A57" s="3">
        <v>37</v>
      </c>
      <c r="B57" s="3" t="s">
        <v>24</v>
      </c>
      <c r="C57" s="26">
        <v>44327</v>
      </c>
      <c r="D57" s="26">
        <v>44329</v>
      </c>
      <c r="E57" s="3" t="s">
        <v>61</v>
      </c>
      <c r="F57" s="3" t="s">
        <v>123</v>
      </c>
      <c r="H57" s="4">
        <v>-0.02</v>
      </c>
    </row>
    <row r="58" spans="1:16" x14ac:dyDescent="0.25">
      <c r="A58" s="3">
        <v>38</v>
      </c>
      <c r="B58" s="3" t="s">
        <v>24</v>
      </c>
      <c r="C58" s="26">
        <v>44335</v>
      </c>
      <c r="D58" s="26">
        <v>44335</v>
      </c>
      <c r="E58" s="3" t="s">
        <v>59</v>
      </c>
      <c r="F58" s="3" t="s">
        <v>6</v>
      </c>
      <c r="H58" s="4">
        <v>-796</v>
      </c>
      <c r="I58" s="3" t="s">
        <v>124</v>
      </c>
    </row>
    <row r="59" spans="1:16" x14ac:dyDescent="0.25">
      <c r="A59" s="3">
        <v>39</v>
      </c>
      <c r="B59" s="3" t="s">
        <v>39</v>
      </c>
      <c r="C59" s="26">
        <v>44335</v>
      </c>
      <c r="D59" s="26">
        <v>44337</v>
      </c>
      <c r="E59" s="3" t="s">
        <v>1594</v>
      </c>
      <c r="F59" s="3" t="s">
        <v>40</v>
      </c>
      <c r="G59" s="3">
        <v>18</v>
      </c>
      <c r="H59" s="4">
        <v>-2195.65</v>
      </c>
    </row>
    <row r="60" spans="1:16" x14ac:dyDescent="0.25">
      <c r="A60" s="3">
        <v>38</v>
      </c>
      <c r="B60" s="3" t="s">
        <v>24</v>
      </c>
      <c r="C60" s="26">
        <v>44348</v>
      </c>
      <c r="D60" s="26">
        <v>44348</v>
      </c>
      <c r="E60" s="3" t="s">
        <v>59</v>
      </c>
      <c r="F60" s="3" t="s">
        <v>6</v>
      </c>
      <c r="G60" s="3">
        <v>50</v>
      </c>
      <c r="H60" s="4">
        <v>0</v>
      </c>
      <c r="I60" s="3" t="s">
        <v>125</v>
      </c>
    </row>
    <row r="61" spans="1:16" x14ac:dyDescent="0.25">
      <c r="A61" s="3">
        <v>52</v>
      </c>
      <c r="B61" s="3" t="s">
        <v>24</v>
      </c>
      <c r="C61" s="26">
        <v>44390</v>
      </c>
      <c r="D61" s="26">
        <v>44390</v>
      </c>
      <c r="E61" s="3" t="s">
        <v>61</v>
      </c>
      <c r="F61" s="3" t="s">
        <v>41</v>
      </c>
      <c r="H61" s="4">
        <v>-4500</v>
      </c>
      <c r="I61" s="3" t="s">
        <v>124</v>
      </c>
    </row>
    <row r="62" spans="1:16" x14ac:dyDescent="0.25">
      <c r="A62" s="3">
        <v>40</v>
      </c>
      <c r="B62" s="3" t="s">
        <v>24</v>
      </c>
      <c r="C62" s="26">
        <v>44391</v>
      </c>
      <c r="D62" s="26">
        <v>44391</v>
      </c>
      <c r="E62" s="3" t="s">
        <v>60</v>
      </c>
      <c r="F62" s="3" t="s">
        <v>6</v>
      </c>
      <c r="G62" s="3">
        <v>-186</v>
      </c>
      <c r="H62" s="4">
        <v>4347.67</v>
      </c>
      <c r="I62" s="31"/>
    </row>
    <row r="63" spans="1:16" x14ac:dyDescent="0.25">
      <c r="A63" s="3">
        <v>40</v>
      </c>
      <c r="B63" s="3" t="s">
        <v>24</v>
      </c>
      <c r="C63" s="26">
        <v>44391</v>
      </c>
      <c r="D63" s="26">
        <v>44391</v>
      </c>
      <c r="E63" s="3" t="s">
        <v>60</v>
      </c>
      <c r="F63" s="3" t="s">
        <v>44</v>
      </c>
      <c r="H63" s="4">
        <v>327.82</v>
      </c>
    </row>
    <row r="64" spans="1:16" x14ac:dyDescent="0.25">
      <c r="A64" s="3">
        <v>40</v>
      </c>
      <c r="B64" s="3" t="s">
        <v>24</v>
      </c>
      <c r="C64" s="26">
        <v>44391</v>
      </c>
      <c r="D64" s="26">
        <v>44391</v>
      </c>
      <c r="E64" s="3" t="s">
        <v>60</v>
      </c>
      <c r="F64" s="3" t="s">
        <v>45</v>
      </c>
      <c r="H64" s="4">
        <v>-0.25</v>
      </c>
    </row>
    <row r="65" spans="1:9" x14ac:dyDescent="0.25">
      <c r="A65" s="3">
        <v>48</v>
      </c>
      <c r="B65" s="3" t="s">
        <v>24</v>
      </c>
      <c r="C65" s="26">
        <v>44391</v>
      </c>
      <c r="D65" s="26">
        <v>44391</v>
      </c>
      <c r="E65" s="3" t="s">
        <v>68</v>
      </c>
      <c r="F65" s="3" t="s">
        <v>70</v>
      </c>
      <c r="H65" s="4">
        <v>52.98</v>
      </c>
    </row>
    <row r="66" spans="1:9" x14ac:dyDescent="0.25">
      <c r="A66" s="3">
        <v>49</v>
      </c>
      <c r="B66" s="3" t="s">
        <v>24</v>
      </c>
      <c r="C66" s="26">
        <v>44391</v>
      </c>
      <c r="D66" s="26">
        <v>44391</v>
      </c>
      <c r="E66" s="3" t="s">
        <v>37</v>
      </c>
      <c r="F66" s="3" t="s">
        <v>38</v>
      </c>
      <c r="H66" s="4">
        <v>12500</v>
      </c>
    </row>
    <row r="67" spans="1:9" x14ac:dyDescent="0.25">
      <c r="A67" s="3">
        <v>51</v>
      </c>
      <c r="B67" s="3" t="s">
        <v>24</v>
      </c>
      <c r="C67" s="26">
        <v>44391</v>
      </c>
      <c r="D67" s="26">
        <v>44391</v>
      </c>
      <c r="E67" s="3" t="s">
        <v>1401</v>
      </c>
      <c r="F67" s="3" t="s">
        <v>6</v>
      </c>
      <c r="G67" s="3">
        <v>500</v>
      </c>
      <c r="H67" s="4">
        <v>-6465</v>
      </c>
      <c r="I67" s="3" t="s">
        <v>1901</v>
      </c>
    </row>
    <row r="68" spans="1:9" x14ac:dyDescent="0.25">
      <c r="A68" s="3">
        <v>52</v>
      </c>
      <c r="B68" s="3" t="s">
        <v>24</v>
      </c>
      <c r="C68" s="26">
        <v>44391</v>
      </c>
      <c r="D68" s="26">
        <v>44391</v>
      </c>
      <c r="E68" s="3" t="s">
        <v>61</v>
      </c>
      <c r="F68" s="3" t="s">
        <v>41</v>
      </c>
      <c r="G68" s="3">
        <v>45</v>
      </c>
      <c r="H68" s="4">
        <v>0</v>
      </c>
      <c r="I68" s="3" t="s">
        <v>125</v>
      </c>
    </row>
    <row r="69" spans="1:9" x14ac:dyDescent="0.25">
      <c r="A69" s="3">
        <v>53</v>
      </c>
      <c r="B69" s="3" t="s">
        <v>24</v>
      </c>
      <c r="C69" s="26">
        <v>44391</v>
      </c>
      <c r="D69" s="26">
        <v>44393</v>
      </c>
      <c r="E69" s="3" t="s">
        <v>69</v>
      </c>
      <c r="F69" s="3" t="s">
        <v>6</v>
      </c>
      <c r="G69" s="3">
        <v>14</v>
      </c>
      <c r="H69" s="4">
        <v>-83.82</v>
      </c>
      <c r="I69" s="3" t="s">
        <v>1871</v>
      </c>
    </row>
    <row r="70" spans="1:9" x14ac:dyDescent="0.25">
      <c r="A70" s="3">
        <v>54</v>
      </c>
      <c r="B70" s="3" t="s">
        <v>24</v>
      </c>
      <c r="C70" s="26">
        <v>44391</v>
      </c>
      <c r="D70" s="26">
        <v>44393</v>
      </c>
      <c r="E70" s="3" t="s">
        <v>69</v>
      </c>
      <c r="F70" s="3" t="s">
        <v>70</v>
      </c>
      <c r="H70" s="4">
        <v>83.82</v>
      </c>
      <c r="I70" s="3" t="s">
        <v>1871</v>
      </c>
    </row>
    <row r="71" spans="1:9" x14ac:dyDescent="0.25">
      <c r="A71" s="3">
        <v>42</v>
      </c>
      <c r="B71" s="3" t="s">
        <v>24</v>
      </c>
      <c r="C71" s="26">
        <v>44392</v>
      </c>
      <c r="D71" s="26">
        <v>44392</v>
      </c>
      <c r="E71" s="3" t="s">
        <v>1850</v>
      </c>
      <c r="F71" s="3" t="s">
        <v>42</v>
      </c>
      <c r="G71" s="3">
        <v>15</v>
      </c>
      <c r="H71" s="4">
        <v>-992.05</v>
      </c>
    </row>
    <row r="72" spans="1:9" x14ac:dyDescent="0.25">
      <c r="A72" s="3">
        <v>43</v>
      </c>
      <c r="B72" s="3" t="s">
        <v>24</v>
      </c>
      <c r="C72" s="26">
        <v>44392</v>
      </c>
      <c r="D72" s="26">
        <v>44392</v>
      </c>
      <c r="E72" s="3" t="s">
        <v>338</v>
      </c>
      <c r="F72" s="3" t="s">
        <v>40</v>
      </c>
      <c r="G72" s="3">
        <v>20</v>
      </c>
      <c r="H72" s="4">
        <v>-2855.55</v>
      </c>
    </row>
    <row r="73" spans="1:9" x14ac:dyDescent="0.25">
      <c r="A73" s="3">
        <v>44</v>
      </c>
      <c r="B73" s="3" t="s">
        <v>24</v>
      </c>
      <c r="C73" s="26">
        <v>44392</v>
      </c>
      <c r="D73" s="26">
        <v>44392</v>
      </c>
      <c r="E73" s="3" t="s">
        <v>966</v>
      </c>
      <c r="F73" s="3" t="s">
        <v>41</v>
      </c>
      <c r="G73" s="3">
        <v>25</v>
      </c>
      <c r="H73" s="4">
        <v>-4245.05</v>
      </c>
    </row>
    <row r="74" spans="1:9" x14ac:dyDescent="0.25">
      <c r="A74" s="3">
        <v>45</v>
      </c>
      <c r="B74" s="3" t="s">
        <v>24</v>
      </c>
      <c r="C74" s="26">
        <v>44393</v>
      </c>
      <c r="D74" s="26">
        <v>44393</v>
      </c>
      <c r="E74" s="3" t="s">
        <v>69</v>
      </c>
      <c r="F74" s="3" t="s">
        <v>6</v>
      </c>
      <c r="G74" s="3">
        <v>50</v>
      </c>
      <c r="H74" s="4">
        <v>-1249.28</v>
      </c>
    </row>
    <row r="75" spans="1:9" x14ac:dyDescent="0.25">
      <c r="A75" s="3">
        <v>46</v>
      </c>
      <c r="B75" s="3" t="s">
        <v>24</v>
      </c>
      <c r="C75" s="26">
        <v>44393</v>
      </c>
      <c r="D75" s="26">
        <v>44393</v>
      </c>
      <c r="E75" s="3" t="s">
        <v>69</v>
      </c>
      <c r="F75" s="3" t="s">
        <v>6</v>
      </c>
      <c r="G75" s="3">
        <v>198</v>
      </c>
      <c r="H75" s="4">
        <v>-4947.13</v>
      </c>
    </row>
    <row r="76" spans="1:9" x14ac:dyDescent="0.25">
      <c r="A76" s="3">
        <v>47</v>
      </c>
      <c r="B76" s="3" t="s">
        <v>24</v>
      </c>
      <c r="C76" s="26">
        <v>44393</v>
      </c>
      <c r="D76" s="26">
        <v>44393</v>
      </c>
      <c r="E76" s="3" t="s">
        <v>69</v>
      </c>
      <c r="F76" s="3" t="s">
        <v>6</v>
      </c>
      <c r="G76" s="3">
        <v>-198</v>
      </c>
      <c r="H76" s="4">
        <v>4947.13</v>
      </c>
    </row>
    <row r="77" spans="1:9" x14ac:dyDescent="0.25">
      <c r="A77" s="3">
        <v>47</v>
      </c>
      <c r="B77" s="3" t="s">
        <v>24</v>
      </c>
      <c r="C77" s="26">
        <v>44393</v>
      </c>
      <c r="D77" s="26">
        <v>44393</v>
      </c>
      <c r="E77" s="3" t="s">
        <v>69</v>
      </c>
      <c r="F77" s="3" t="s">
        <v>63</v>
      </c>
      <c r="H77" s="4">
        <v>63.14</v>
      </c>
    </row>
    <row r="78" spans="1:9" x14ac:dyDescent="0.25">
      <c r="A78" s="3">
        <v>47</v>
      </c>
      <c r="B78" s="3" t="s">
        <v>24</v>
      </c>
      <c r="C78" s="26">
        <v>44393</v>
      </c>
      <c r="D78" s="26">
        <v>44393</v>
      </c>
      <c r="E78" s="3" t="s">
        <v>69</v>
      </c>
      <c r="F78" s="3" t="s">
        <v>64</v>
      </c>
      <c r="H78" s="4">
        <v>-0.54</v>
      </c>
    </row>
    <row r="79" spans="1:9" x14ac:dyDescent="0.25">
      <c r="A79" s="3">
        <v>50</v>
      </c>
      <c r="B79" s="3" t="s">
        <v>24</v>
      </c>
      <c r="C79" s="26">
        <v>44394</v>
      </c>
      <c r="D79" s="26">
        <v>44394</v>
      </c>
      <c r="E79" s="3" t="s">
        <v>68</v>
      </c>
      <c r="F79" s="3" t="s">
        <v>6</v>
      </c>
      <c r="G79" s="3">
        <v>-10</v>
      </c>
      <c r="H79" s="4">
        <v>147.04</v>
      </c>
    </row>
    <row r="80" spans="1:9" x14ac:dyDescent="0.25">
      <c r="A80" s="3">
        <v>50</v>
      </c>
      <c r="B80" s="3" t="s">
        <v>24</v>
      </c>
      <c r="C80" s="26">
        <v>44394</v>
      </c>
      <c r="D80" s="26">
        <v>44394</v>
      </c>
      <c r="E80" s="3" t="s">
        <v>68</v>
      </c>
      <c r="F80" s="3" t="s">
        <v>44</v>
      </c>
      <c r="H80" s="4">
        <v>3.81</v>
      </c>
    </row>
    <row r="81" spans="1:8" x14ac:dyDescent="0.25">
      <c r="A81" s="3">
        <v>50</v>
      </c>
      <c r="B81" s="3" t="s">
        <v>24</v>
      </c>
      <c r="C81" s="26">
        <v>44394</v>
      </c>
      <c r="D81" s="26">
        <v>44394</v>
      </c>
      <c r="E81" s="3" t="s">
        <v>68</v>
      </c>
      <c r="F81" s="3" t="s">
        <v>45</v>
      </c>
      <c r="H81" s="4">
        <v>0</v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E6B9-BB71-41E4-8933-1CE01F32D19D}">
  <sheetPr codeName="Planilha4"/>
  <dimension ref="A1:AW100"/>
  <sheetViews>
    <sheetView showGridLines="0" topLeftCell="F1" zoomScaleNormal="100" workbookViewId="0">
      <selection activeCell="AE17" sqref="AE17"/>
    </sheetView>
  </sheetViews>
  <sheetFormatPr defaultRowHeight="15" outlineLevelCol="1" x14ac:dyDescent="0.25"/>
  <cols>
    <col min="1" max="1" width="7.7109375" style="3" hidden="1" customWidth="1"/>
    <col min="2" max="2" width="8" style="3" hidden="1" customWidth="1"/>
    <col min="3" max="3" width="11.42578125" style="3" hidden="1" customWidth="1"/>
    <col min="4" max="4" width="14.5703125" style="4" hidden="1" customWidth="1"/>
    <col min="5" max="5" width="4.5703125" hidden="1" customWidth="1"/>
    <col min="6" max="6" width="10.85546875" style="3" customWidth="1"/>
    <col min="7" max="7" width="11.42578125" style="19" hidden="1" customWidth="1"/>
    <col min="8" max="8" width="12.140625" style="4" hidden="1" customWidth="1"/>
    <col min="9" max="9" width="14.5703125" style="4" hidden="1" customWidth="1"/>
    <col min="10" max="10" width="11.140625" style="4" hidden="1" customWidth="1"/>
    <col min="11" max="12" width="13.28515625" style="4" bestFit="1" customWidth="1"/>
    <col min="13" max="13" width="10.5703125" style="15" bestFit="1" customWidth="1"/>
    <col min="14" max="14" width="14.28515625" style="3" hidden="1" customWidth="1"/>
    <col min="15" max="15" width="11.5703125" style="4" hidden="1" customWidth="1"/>
    <col min="16" max="16" width="11.7109375" style="3" hidden="1" customWidth="1"/>
    <col min="17" max="18" width="12.140625" style="4" hidden="1" customWidth="1"/>
    <col min="19" max="19" width="14.42578125" style="4" hidden="1" customWidth="1"/>
    <col min="20" max="20" width="13.28515625" style="4" hidden="1" customWidth="1"/>
    <col min="21" max="21" width="11.7109375" style="4" hidden="1" customWidth="1"/>
    <col min="22" max="22" width="12.140625" style="4" hidden="1" customWidth="1"/>
    <col min="23" max="23" width="5.7109375" hidden="1" customWidth="1"/>
    <col min="24" max="24" width="13.28515625" style="2" hidden="1" customWidth="1"/>
    <col min="25" max="25" width="6.28515625" customWidth="1"/>
    <col min="33" max="33" width="4.5703125" customWidth="1" outlineLevel="1"/>
    <col min="34" max="34" width="8.5703125" customWidth="1" outlineLevel="1"/>
    <col min="35" max="36" width="9.140625" customWidth="1" outlineLevel="1"/>
    <col min="37" max="37" width="10.5703125" customWidth="1" outlineLevel="1"/>
    <col min="38" max="39" width="9.140625" customWidth="1" outlineLevel="1"/>
    <col min="40" max="40" width="4.5703125" customWidth="1" outlineLevel="1"/>
    <col min="41" max="41" width="4.5703125" customWidth="1"/>
    <col min="42" max="42" width="2.140625" customWidth="1" outlineLevel="1"/>
    <col min="43" max="43" width="8.5703125" customWidth="1" outlineLevel="1"/>
    <col min="44" max="45" width="9.140625" customWidth="1" outlineLevel="1"/>
    <col min="46" max="46" width="10.5703125" customWidth="1" outlineLevel="1"/>
    <col min="47" max="48" width="9.140625" customWidth="1" outlineLevel="1"/>
    <col min="49" max="49" width="2.140625" customWidth="1" outlineLevel="1"/>
    <col min="50" max="50" width="2.140625" customWidth="1"/>
  </cols>
  <sheetData>
    <row r="1" spans="1:48" x14ac:dyDescent="0.25">
      <c r="A1" s="5" t="s">
        <v>46</v>
      </c>
      <c r="B1" s="5" t="s">
        <v>5</v>
      </c>
      <c r="C1" s="5" t="s">
        <v>7</v>
      </c>
      <c r="D1" s="12" t="s">
        <v>47</v>
      </c>
      <c r="F1" s="6" t="s">
        <v>46</v>
      </c>
      <c r="G1" s="17" t="s">
        <v>7</v>
      </c>
      <c r="H1" s="13" t="s">
        <v>48</v>
      </c>
      <c r="I1" s="13" t="s">
        <v>47</v>
      </c>
      <c r="J1" s="13" t="s">
        <v>49</v>
      </c>
      <c r="K1" s="13" t="s">
        <v>50</v>
      </c>
      <c r="L1" s="13" t="s">
        <v>51</v>
      </c>
      <c r="M1" s="14" t="s">
        <v>52</v>
      </c>
      <c r="N1" s="7" t="s">
        <v>55</v>
      </c>
      <c r="O1" s="16" t="s">
        <v>56</v>
      </c>
      <c r="P1" s="7" t="s">
        <v>57</v>
      </c>
      <c r="Q1" s="16" t="s">
        <v>58</v>
      </c>
      <c r="R1" s="55" t="s">
        <v>5</v>
      </c>
      <c r="S1" s="7" t="s">
        <v>55</v>
      </c>
      <c r="T1" s="16" t="s">
        <v>56</v>
      </c>
      <c r="U1" s="7" t="s">
        <v>57</v>
      </c>
      <c r="V1" s="16" t="s">
        <v>58</v>
      </c>
      <c r="W1" s="16" t="s">
        <v>1893</v>
      </c>
      <c r="X1" s="55" t="s">
        <v>1900</v>
      </c>
      <c r="Z1" s="94" t="s">
        <v>5</v>
      </c>
      <c r="AA1" s="95"/>
      <c r="AB1" s="95"/>
      <c r="AC1" s="95"/>
      <c r="AD1" s="95"/>
      <c r="AE1" s="95"/>
      <c r="AF1" s="96"/>
      <c r="AH1" s="91" t="s">
        <v>1894</v>
      </c>
      <c r="AI1" s="91"/>
      <c r="AJ1" s="91"/>
      <c r="AK1" s="91"/>
      <c r="AL1" s="91"/>
      <c r="AM1" s="91"/>
      <c r="AQ1" s="91" t="s">
        <v>1894</v>
      </c>
      <c r="AR1" s="91"/>
      <c r="AS1" s="91"/>
      <c r="AT1" s="91"/>
      <c r="AU1" s="91"/>
      <c r="AV1" s="91"/>
    </row>
    <row r="2" spans="1:48" x14ac:dyDescent="0.25">
      <c r="A2" s="3" t="str" cm="1">
        <f t="array" ref="A2:A19">_xlfn._xlws.SORT(_xlfn.UNIQUE(SUBSTITUTE(_xlfn._xlws.FILTER(TabelaMovimentacoes[Descrição],(TabelaMovimentacoes[Tipo]="Ação")+(TabelaMovimentacoes[Tipo]="ETF")+(TabelaMovimentacoes[Tipo]="FII")+(TabelaMovimentacoes[Tipo]="BDR"),""),".N","")))</f>
        <v>AAPL34</v>
      </c>
      <c r="B2" s="3" t="str" cm="1">
        <f t="array" ref="B2:B19">_xlfn.XLOOKUP(_xlfn.ANCHORARRAY(A2),Opções!D:D,Opções!E:E,"")</f>
        <v>BDR</v>
      </c>
      <c r="C2" s="3" cm="1">
        <f t="array" ref="C2:C19">SUMIFS(TabelaMovimentacoes[Quantidade],TabelaMovimentacoes[Descrição],_xlfn.ANCHORARRAY(A2),TabelaMovimentacoes[Tipo],_xlfn.ANCHORARRAY(B2))
+
SUMIFS(TabelaMovimentacoes[Quantidade],TabelaMovimentacoes[Descrição],_xlfn.ANCHORARRAY(A2)&amp;".N",TabelaMovimentacoes[Tipo],_xlfn.ANCHORARRAY(B2))</f>
        <v>15</v>
      </c>
      <c r="D2" s="4" cm="1">
        <f t="array" ref="D2:D19">-SUMIFS(TabelaMovimentacoes[Valor],TabelaMovimentacoes[Descrição],_xlfn.ANCHORARRAY(A2),TabelaMovimentacoes[Tipo],_xlfn.ANCHORARRAY(B2))
-
SUMIFS(TabelaMovimentacoes[Valor],TabelaMovimentacoes[Descrição],_xlfn.ANCHORARRAY(A2)&amp;".N",TabelaMovimentacoes[Tipo],_xlfn.ANCHORARRAY(B2))</f>
        <v>992.05</v>
      </c>
      <c r="F2" s="8" t="str" cm="1">
        <f t="array" ref="F2:F14">_xlfn._xlws.FILTER(_xlfn.ANCHORARRAY(A2),_xlfn.ANCHORARRAY(C2)&gt;0)</f>
        <v>AAPL34</v>
      </c>
      <c r="G2" s="18" cm="1">
        <f t="array" ref="G2:G14">VLOOKUP(_xlfn.ANCHORARRAY(F2),A:C,3,FALSE)</f>
        <v>15</v>
      </c>
      <c r="H2" s="9" cm="1">
        <f t="array" ref="H2:H14">_xlfn.ANCHORARRAY(I2)/_xlfn.ANCHORARRAY(G2)</f>
        <v>66.13666666666667</v>
      </c>
      <c r="I2" s="9" cm="1">
        <f t="array" ref="I2:I14">VLOOKUP(_xlfn.ANCHORARRAY(F2),A:D,4,0)</f>
        <v>992.05</v>
      </c>
      <c r="J2" s="9" cm="1">
        <f t="array" ref="J2:J14">VLOOKUP(_xlfn.ANCHORARRAY(F2),Cotações!A:C,3,0)</f>
        <v>0</v>
      </c>
      <c r="K2" s="9" cm="1">
        <f t="array" ref="K2:K14">_xlfn.ANCHORARRAY(G2)*_xlfn.ANCHORARRAY(J2)</f>
        <v>0</v>
      </c>
      <c r="L2" s="9" cm="1">
        <f t="array" ref="L2:L14">_xlfn.ANCHORARRAY(K2)-_xlfn.ANCHORARRAY(I2)</f>
        <v>-992.05</v>
      </c>
      <c r="M2" s="10" cm="1">
        <f t="array" ref="M2:M14">_xlfn.ANCHORARRAY(L2)/_xlfn.ANCHORARRAY(I2)</f>
        <v>-1</v>
      </c>
      <c r="N2" s="10" t="str" cm="1">
        <f t="array" ref="N2:N14">IF(_xlfn.ANCHORARRAY(L2)&lt;0,IF(Z2="",_xlfn.ANCHORARRAY(F2),IF(_xlfn.ANCHORARRAY(R2)=Z2,_xlfn.ANCHORARRAY(F2),"")),"")</f>
        <v/>
      </c>
      <c r="O2" s="11" cm="1">
        <f t="array" ref="O2:O14">IF(_xlfn.ANCHORARRAY(L2)&lt;0,IF(Z2="",_xlfn.ANCHORARRAY(L2),IF(_xlfn.ANCHORARRAY(R2)=Z2,_xlfn.ANCHORARRAY(L2),0)),0)</f>
        <v>0</v>
      </c>
      <c r="P2" s="10" t="str" cm="1">
        <f t="array" ref="P2:P14">IF(_xlfn.ANCHORARRAY(L2)&gt;0,IF(Z2="",_xlfn.ANCHORARRAY(F2),IF(_xlfn.ANCHORARRAY(R2)=Z2,_xlfn.ANCHORARRAY(F2),"")),"")</f>
        <v/>
      </c>
      <c r="Q2" s="11" cm="1">
        <f t="array" ref="Q2:Q14">IF(_xlfn.ANCHORARRAY(L2)&gt;0,IF(Z2="",_xlfn.ANCHORARRAY(L2),IF(_xlfn.ANCHORARRAY(R2)=Z2,_xlfn.ANCHORARRAY(L2),0)),0)</f>
        <v>0</v>
      </c>
      <c r="R2" s="56" t="str" cm="1">
        <f t="array" ref="R2:R14">VLOOKUP(_xlfn.ANCHORARRAY(F2),A:B,2,0)</f>
        <v>BDR</v>
      </c>
      <c r="S2" s="56" t="str" cm="1">
        <f t="array" ref="S2:V8">_xlfn._xlws.FILTER(N2:Q1048576,(O2:O1048576&lt;&gt;"")*IFERROR((O2:O1048576+Q2:Q1048576)&lt;&gt;0,0))</f>
        <v>AESB3</v>
      </c>
      <c r="T2" s="56">
        <v>-1102.82</v>
      </c>
      <c r="U2" s="56" t="str">
        <v/>
      </c>
      <c r="V2" s="56">
        <v>0</v>
      </c>
      <c r="W2" t="str" cm="1">
        <f t="array" ref="W2:W5">_xlfn._xlws.FILTER(_xlfn.UNIQUE(_xlfn.ANCHORARRAY(B2)),_xlfn.UNIQUE(_xlfn.ANCHORARRAY(B2))&lt;&gt;"")</f>
        <v>BDR</v>
      </c>
      <c r="X2" s="2" cm="1">
        <f t="array" ref="X2:X5">SUMIFS(K:K,R:R,_xlfn.ANCHORARRAY(W2))</f>
        <v>0</v>
      </c>
      <c r="Z2" s="97" t="s">
        <v>6</v>
      </c>
      <c r="AA2" s="98"/>
      <c r="AB2" s="98"/>
      <c r="AC2" s="98"/>
      <c r="AD2" s="98"/>
      <c r="AE2" s="98"/>
      <c r="AF2" s="99"/>
      <c r="AH2" s="57" t="s">
        <v>51</v>
      </c>
      <c r="AI2" s="92">
        <f>SUM(L:L)</f>
        <v>-32701.83</v>
      </c>
      <c r="AJ2" s="92"/>
      <c r="AK2" s="57" t="s">
        <v>52</v>
      </c>
      <c r="AL2" s="93">
        <f>AI2/SUM(I:I)</f>
        <v>-1</v>
      </c>
      <c r="AM2" s="93"/>
      <c r="AQ2" s="57" t="s">
        <v>51</v>
      </c>
      <c r="AR2" s="92">
        <f>SUM(L:L)</f>
        <v>-32701.83</v>
      </c>
      <c r="AS2" s="92"/>
      <c r="AT2" s="57" t="s">
        <v>52</v>
      </c>
      <c r="AU2" s="93">
        <f>AI2/SUM(I:I)</f>
        <v>-1</v>
      </c>
      <c r="AV2" s="93"/>
    </row>
    <row r="3" spans="1:48" x14ac:dyDescent="0.25">
      <c r="A3" s="3" t="str">
        <v>AESB3</v>
      </c>
      <c r="B3" s="3" t="str">
        <v>Ação</v>
      </c>
      <c r="C3" s="3">
        <v>75</v>
      </c>
      <c r="D3" s="4">
        <v>1102.82</v>
      </c>
      <c r="F3" s="3" t="str">
        <v>AESB3</v>
      </c>
      <c r="G3" s="19">
        <v>75</v>
      </c>
      <c r="H3" s="4">
        <v>14.704266666666665</v>
      </c>
      <c r="I3" s="4">
        <v>1102.82</v>
      </c>
      <c r="J3" s="4">
        <v>0</v>
      </c>
      <c r="K3" s="4">
        <v>0</v>
      </c>
      <c r="L3" s="4">
        <v>-1102.82</v>
      </c>
      <c r="M3" s="15">
        <v>-1</v>
      </c>
      <c r="N3" s="3" t="str">
        <v>AESB3</v>
      </c>
      <c r="O3" s="4">
        <v>-1102.82</v>
      </c>
      <c r="P3" s="3" t="str">
        <v/>
      </c>
      <c r="Q3" s="4">
        <v>0</v>
      </c>
      <c r="R3" s="4" t="str">
        <v>Ação</v>
      </c>
      <c r="S3" s="4" t="str">
        <v>BBDC4</v>
      </c>
      <c r="T3" s="4">
        <v>-3707.4100000000008</v>
      </c>
      <c r="U3" s="4" t="str">
        <v/>
      </c>
      <c r="V3" s="4">
        <v>0</v>
      </c>
      <c r="W3" t="str">
        <v>Ação</v>
      </c>
      <c r="X3" s="2">
        <v>0</v>
      </c>
    </row>
    <row r="4" spans="1:48" x14ac:dyDescent="0.25">
      <c r="A4" s="3" t="str">
        <v>BBAS3</v>
      </c>
      <c r="B4" s="3" t="str">
        <v>Ação</v>
      </c>
      <c r="C4" s="3">
        <v>0</v>
      </c>
      <c r="D4" s="4">
        <v>0</v>
      </c>
      <c r="F4" s="3" t="str">
        <v>BBDC4</v>
      </c>
      <c r="G4" s="19">
        <v>204</v>
      </c>
      <c r="H4" s="4">
        <v>18.173578431372551</v>
      </c>
      <c r="I4" s="4">
        <v>3707.4100000000008</v>
      </c>
      <c r="J4" s="20">
        <v>0</v>
      </c>
      <c r="K4" s="4">
        <v>0</v>
      </c>
      <c r="L4" s="4">
        <v>-3707.4100000000008</v>
      </c>
      <c r="M4" s="15">
        <v>-1</v>
      </c>
      <c r="N4" s="3" t="str">
        <v>BBDC4</v>
      </c>
      <c r="O4" s="4">
        <v>-3707.4100000000008</v>
      </c>
      <c r="P4" s="3" t="str">
        <v/>
      </c>
      <c r="Q4" s="4">
        <v>0</v>
      </c>
      <c r="R4" s="4" t="str">
        <v>Ação</v>
      </c>
      <c r="S4" s="4" t="str">
        <v>CASH3</v>
      </c>
      <c r="T4" s="4">
        <v>-1662.59</v>
      </c>
      <c r="U4" s="4" t="str">
        <v/>
      </c>
      <c r="V4" s="4">
        <v>0</v>
      </c>
      <c r="W4" t="str">
        <v>ETF</v>
      </c>
      <c r="X4" s="2">
        <v>0</v>
      </c>
    </row>
    <row r="5" spans="1:48" x14ac:dyDescent="0.25">
      <c r="A5" s="3" t="str">
        <v>BBDC4</v>
      </c>
      <c r="B5" s="3" t="str">
        <v>Ação</v>
      </c>
      <c r="C5" s="3">
        <v>204</v>
      </c>
      <c r="D5" s="4">
        <v>3707.4100000000008</v>
      </c>
      <c r="F5" s="3" t="str">
        <v>BOVA11</v>
      </c>
      <c r="G5" s="19">
        <v>18</v>
      </c>
      <c r="H5" s="4">
        <v>121.98055555555555</v>
      </c>
      <c r="I5" s="4">
        <v>2195.65</v>
      </c>
      <c r="J5" s="20">
        <v>0</v>
      </c>
      <c r="K5" s="4">
        <v>0</v>
      </c>
      <c r="L5" s="4">
        <v>-2195.65</v>
      </c>
      <c r="M5" s="15">
        <v>-1</v>
      </c>
      <c r="N5" s="3" t="str">
        <v/>
      </c>
      <c r="O5" s="4">
        <v>0</v>
      </c>
      <c r="P5" s="3" t="str">
        <v/>
      </c>
      <c r="Q5" s="4">
        <v>0</v>
      </c>
      <c r="R5" s="4" t="str">
        <v>ETF</v>
      </c>
      <c r="S5" s="4" t="str">
        <v>ITUB4</v>
      </c>
      <c r="T5" s="4">
        <v>-2060.13</v>
      </c>
      <c r="U5" s="4" t="str">
        <v/>
      </c>
      <c r="V5" s="4">
        <v>0</v>
      </c>
      <c r="W5" t="str">
        <v>FII</v>
      </c>
      <c r="X5" s="2">
        <v>0</v>
      </c>
    </row>
    <row r="6" spans="1:48" x14ac:dyDescent="0.25">
      <c r="A6" s="3" t="str">
        <v>BOVA11</v>
      </c>
      <c r="B6" s="3" t="str">
        <v>ETF</v>
      </c>
      <c r="C6" s="3">
        <v>18</v>
      </c>
      <c r="D6" s="4">
        <v>2195.65</v>
      </c>
      <c r="F6" s="3" t="str">
        <v>BRCR11</v>
      </c>
      <c r="G6" s="19">
        <v>50</v>
      </c>
      <c r="H6" s="4">
        <v>98.190400000000011</v>
      </c>
      <c r="I6" s="4">
        <v>4909.5200000000004</v>
      </c>
      <c r="J6" s="20">
        <v>0</v>
      </c>
      <c r="K6" s="4">
        <v>0</v>
      </c>
      <c r="L6" s="4">
        <v>-4909.5200000000004</v>
      </c>
      <c r="M6" s="15">
        <v>-1</v>
      </c>
      <c r="N6" s="3" t="str">
        <v/>
      </c>
      <c r="O6" s="4">
        <v>0</v>
      </c>
      <c r="P6" s="3" t="str">
        <v/>
      </c>
      <c r="Q6" s="4">
        <v>0</v>
      </c>
      <c r="R6" s="4" t="str">
        <v>FII</v>
      </c>
      <c r="S6" s="4" t="str">
        <v>PETR4</v>
      </c>
      <c r="T6" s="4">
        <v>-1117.5400000000002</v>
      </c>
      <c r="U6" s="4" t="str">
        <v/>
      </c>
      <c r="V6" s="4">
        <v>0</v>
      </c>
    </row>
    <row r="7" spans="1:48" x14ac:dyDescent="0.25">
      <c r="A7" s="3" t="str">
        <v>BPAN4</v>
      </c>
      <c r="B7" s="3" t="str">
        <v>Ação</v>
      </c>
      <c r="C7" s="3">
        <v>0</v>
      </c>
      <c r="D7" s="4">
        <v>0</v>
      </c>
      <c r="F7" s="3" t="str">
        <v>CASH3</v>
      </c>
      <c r="G7" s="19">
        <v>64</v>
      </c>
      <c r="H7" s="4">
        <v>25.977968749999999</v>
      </c>
      <c r="I7" s="4">
        <v>1662.59</v>
      </c>
      <c r="J7" s="20">
        <v>0</v>
      </c>
      <c r="K7" s="4">
        <v>0</v>
      </c>
      <c r="L7" s="4">
        <v>-1662.59</v>
      </c>
      <c r="M7" s="15">
        <v>-1</v>
      </c>
      <c r="N7" s="3" t="str">
        <v>CASH3</v>
      </c>
      <c r="O7" s="4">
        <v>-1662.59</v>
      </c>
      <c r="P7" s="3" t="str">
        <v/>
      </c>
      <c r="Q7" s="4">
        <v>0</v>
      </c>
      <c r="R7" s="4" t="str">
        <v>Ação</v>
      </c>
      <c r="S7" s="4" t="str">
        <v>PRNR3</v>
      </c>
      <c r="T7" s="4">
        <v>-6465</v>
      </c>
      <c r="U7" s="4" t="str">
        <v/>
      </c>
      <c r="V7" s="4">
        <v>0</v>
      </c>
    </row>
    <row r="8" spans="1:48" x14ac:dyDescent="0.25">
      <c r="A8" s="3" t="str">
        <v>BRCR11</v>
      </c>
      <c r="B8" s="3" t="str">
        <v>FII</v>
      </c>
      <c r="C8" s="3">
        <v>50</v>
      </c>
      <c r="D8" s="4">
        <v>4909.5200000000004</v>
      </c>
      <c r="F8" s="3" t="str">
        <v>HGLG11</v>
      </c>
      <c r="G8" s="19">
        <v>25</v>
      </c>
      <c r="H8" s="4">
        <v>169.80200000000002</v>
      </c>
      <c r="I8" s="4">
        <v>4245.05</v>
      </c>
      <c r="J8" s="20">
        <v>0</v>
      </c>
      <c r="K8" s="4">
        <v>0</v>
      </c>
      <c r="L8" s="4">
        <v>-4245.05</v>
      </c>
      <c r="M8" s="15">
        <v>-1</v>
      </c>
      <c r="N8" s="3" t="str">
        <v/>
      </c>
      <c r="O8" s="4">
        <v>0</v>
      </c>
      <c r="P8" s="21" t="str">
        <v/>
      </c>
      <c r="Q8" s="4">
        <v>0</v>
      </c>
      <c r="R8" s="4" t="str">
        <v>FII</v>
      </c>
      <c r="S8" s="4" t="str">
        <v>SQIA3</v>
      </c>
      <c r="T8" s="4">
        <v>-500</v>
      </c>
      <c r="U8" s="4" t="str">
        <v/>
      </c>
      <c r="V8" s="4">
        <v>0</v>
      </c>
    </row>
    <row r="9" spans="1:48" x14ac:dyDescent="0.25">
      <c r="A9" s="3" t="str">
        <v>CASH3</v>
      </c>
      <c r="B9" s="3" t="str">
        <v>Ação</v>
      </c>
      <c r="C9" s="3">
        <v>64</v>
      </c>
      <c r="D9" s="4">
        <v>1662.59</v>
      </c>
      <c r="F9" s="3" t="str">
        <v>ITUB4</v>
      </c>
      <c r="G9" s="19">
        <v>115</v>
      </c>
      <c r="H9" s="4">
        <v>17.914173913043481</v>
      </c>
      <c r="I9" s="4">
        <v>2060.13</v>
      </c>
      <c r="J9" s="20">
        <v>0</v>
      </c>
      <c r="K9" s="4">
        <v>0</v>
      </c>
      <c r="L9" s="4">
        <v>-2060.13</v>
      </c>
      <c r="M9" s="15">
        <v>-1</v>
      </c>
      <c r="N9" s="3" t="str">
        <v>ITUB4</v>
      </c>
      <c r="O9" s="4">
        <v>-2060.13</v>
      </c>
      <c r="P9" s="3" t="str">
        <v/>
      </c>
      <c r="Q9" s="4">
        <v>0</v>
      </c>
      <c r="R9" s="4" t="str">
        <v>Ação</v>
      </c>
    </row>
    <row r="10" spans="1:48" x14ac:dyDescent="0.25">
      <c r="A10" s="3" t="str">
        <v>HGLG11</v>
      </c>
      <c r="B10" s="3" t="str">
        <v>FII</v>
      </c>
      <c r="C10" s="3">
        <v>25</v>
      </c>
      <c r="D10" s="4">
        <v>4245.05</v>
      </c>
      <c r="F10" s="3" t="str">
        <v>MSFT34</v>
      </c>
      <c r="G10" s="19">
        <v>15</v>
      </c>
      <c r="H10" s="4">
        <v>59.234666666666655</v>
      </c>
      <c r="I10" s="4">
        <v>888.51999999999987</v>
      </c>
      <c r="J10" s="20">
        <v>0</v>
      </c>
      <c r="K10" s="4">
        <v>0</v>
      </c>
      <c r="L10" s="4">
        <v>-888.51999999999987</v>
      </c>
      <c r="M10" s="15">
        <v>-1</v>
      </c>
      <c r="N10" s="3" t="str">
        <v/>
      </c>
      <c r="O10" s="4">
        <v>0</v>
      </c>
      <c r="P10" s="3" t="str">
        <v/>
      </c>
      <c r="Q10" s="4">
        <v>0</v>
      </c>
      <c r="R10" s="4" t="str">
        <v>BDR</v>
      </c>
    </row>
    <row r="11" spans="1:48" x14ac:dyDescent="0.25">
      <c r="A11" s="3" t="str">
        <v>ITUB4</v>
      </c>
      <c r="B11" s="3" t="str">
        <v>Ação</v>
      </c>
      <c r="C11" s="3">
        <v>115</v>
      </c>
      <c r="D11" s="4">
        <v>2060.13</v>
      </c>
      <c r="F11" s="3" t="str">
        <v>PETR4</v>
      </c>
      <c r="G11" s="19">
        <v>49</v>
      </c>
      <c r="H11" s="4">
        <v>22.806938775510208</v>
      </c>
      <c r="I11" s="4">
        <v>1117.5400000000002</v>
      </c>
      <c r="J11" s="20">
        <v>0</v>
      </c>
      <c r="K11" s="4">
        <v>0</v>
      </c>
      <c r="L11" s="4">
        <v>-1117.5400000000002</v>
      </c>
      <c r="M11" s="15">
        <v>-1</v>
      </c>
      <c r="N11" s="3" t="str">
        <v>PETR4</v>
      </c>
      <c r="O11" s="4">
        <v>-1117.5400000000002</v>
      </c>
      <c r="P11" s="3" t="str">
        <v/>
      </c>
      <c r="Q11" s="4">
        <v>0</v>
      </c>
      <c r="R11" s="4" t="str">
        <v>Ação</v>
      </c>
    </row>
    <row r="12" spans="1:48" x14ac:dyDescent="0.25">
      <c r="A12" s="3" t="str">
        <v>MGLU3</v>
      </c>
      <c r="B12" s="3" t="str">
        <v>Ação</v>
      </c>
      <c r="C12" s="3">
        <v>0</v>
      </c>
      <c r="D12" s="4">
        <v>0</v>
      </c>
      <c r="F12" s="3" t="str">
        <v>PRNR3</v>
      </c>
      <c r="G12" s="19">
        <v>500</v>
      </c>
      <c r="H12" s="4">
        <v>12.93</v>
      </c>
      <c r="I12" s="4">
        <v>6465</v>
      </c>
      <c r="J12" s="20">
        <v>0</v>
      </c>
      <c r="K12" s="4">
        <v>0</v>
      </c>
      <c r="L12" s="4">
        <v>-6465</v>
      </c>
      <c r="M12" s="15">
        <v>-1</v>
      </c>
      <c r="N12" s="3" t="str">
        <v>PRNR3</v>
      </c>
      <c r="O12" s="4">
        <v>-6465</v>
      </c>
      <c r="P12" s="3" t="str">
        <v/>
      </c>
      <c r="Q12" s="4">
        <v>0</v>
      </c>
      <c r="R12" s="4" t="str">
        <v>Ação</v>
      </c>
    </row>
    <row r="13" spans="1:48" x14ac:dyDescent="0.25">
      <c r="A13" s="3" t="str">
        <v>MSFT34</v>
      </c>
      <c r="B13" s="3" t="str">
        <v>BDR</v>
      </c>
      <c r="C13" s="3">
        <v>15</v>
      </c>
      <c r="D13" s="4">
        <v>888.51999999999987</v>
      </c>
      <c r="F13" s="3" t="str">
        <v>SMAL11</v>
      </c>
      <c r="G13" s="19">
        <v>20</v>
      </c>
      <c r="H13" s="4">
        <v>142.7775</v>
      </c>
      <c r="I13" s="4">
        <v>2855.55</v>
      </c>
      <c r="J13" s="20">
        <v>0</v>
      </c>
      <c r="K13" s="4">
        <v>0</v>
      </c>
      <c r="L13" s="4">
        <v>-2855.55</v>
      </c>
      <c r="M13" s="15">
        <v>-1</v>
      </c>
      <c r="N13" s="3" t="str">
        <v/>
      </c>
      <c r="O13" s="4">
        <v>0</v>
      </c>
      <c r="P13" s="3" t="str">
        <v/>
      </c>
      <c r="Q13" s="4">
        <v>0</v>
      </c>
      <c r="R13" s="4" t="str">
        <v>ETF</v>
      </c>
    </row>
    <row r="14" spans="1:48" x14ac:dyDescent="0.25">
      <c r="A14" s="3" t="str">
        <v>PETR4</v>
      </c>
      <c r="B14" s="3" t="str">
        <v>Ação</v>
      </c>
      <c r="C14" s="3">
        <v>49</v>
      </c>
      <c r="D14" s="4">
        <v>1117.5400000000002</v>
      </c>
      <c r="F14" s="3" t="str">
        <v>SQIA3</v>
      </c>
      <c r="G14" s="19">
        <v>50</v>
      </c>
      <c r="H14" s="4">
        <v>10</v>
      </c>
      <c r="I14" s="4">
        <v>500</v>
      </c>
      <c r="J14" s="20">
        <v>0</v>
      </c>
      <c r="K14" s="4">
        <v>0</v>
      </c>
      <c r="L14" s="4">
        <v>-500</v>
      </c>
      <c r="M14" s="15">
        <v>-1</v>
      </c>
      <c r="N14" s="3" t="str">
        <v>SQIA3</v>
      </c>
      <c r="O14" s="4">
        <v>-500</v>
      </c>
      <c r="P14" s="3" t="str">
        <v/>
      </c>
      <c r="Q14" s="4">
        <v>0</v>
      </c>
      <c r="R14" s="4" t="str">
        <v>Ação</v>
      </c>
    </row>
    <row r="15" spans="1:48" x14ac:dyDescent="0.25">
      <c r="A15" s="3" t="str">
        <v>PRNR3</v>
      </c>
      <c r="B15" s="3" t="str">
        <v>Ação</v>
      </c>
      <c r="C15" s="3">
        <v>500</v>
      </c>
      <c r="D15" s="4">
        <v>6465</v>
      </c>
      <c r="J15" s="20"/>
    </row>
    <row r="16" spans="1:48" x14ac:dyDescent="0.25">
      <c r="A16" s="3" t="str">
        <v>SAPR11</v>
      </c>
      <c r="B16" s="3" t="str">
        <v>Ação</v>
      </c>
      <c r="C16" s="3">
        <v>0</v>
      </c>
      <c r="D16" s="4">
        <v>0</v>
      </c>
      <c r="J16" s="20"/>
      <c r="Y16" s="23"/>
    </row>
    <row r="17" spans="1:10" x14ac:dyDescent="0.25">
      <c r="A17" s="3" t="str">
        <v>SMAL11</v>
      </c>
      <c r="B17" s="3" t="str">
        <v>ETF</v>
      </c>
      <c r="C17" s="3">
        <v>20</v>
      </c>
      <c r="D17" s="4">
        <v>2855.55</v>
      </c>
      <c r="J17" s="20"/>
    </row>
    <row r="18" spans="1:10" x14ac:dyDescent="0.25">
      <c r="A18" s="3" t="str">
        <v>SQIA3</v>
      </c>
      <c r="B18" s="3" t="str">
        <v>Ação</v>
      </c>
      <c r="C18" s="3">
        <v>50</v>
      </c>
      <c r="D18" s="4">
        <v>500</v>
      </c>
      <c r="J18" s="20"/>
    </row>
    <row r="19" spans="1:10" x14ac:dyDescent="0.25">
      <c r="A19" s="3" t="str">
        <v>YDUQ3</v>
      </c>
      <c r="B19" s="3" t="str">
        <v>Ação</v>
      </c>
      <c r="C19" s="3">
        <v>0</v>
      </c>
      <c r="D19" s="4">
        <v>0</v>
      </c>
      <c r="J19" s="20"/>
    </row>
    <row r="20" spans="1:10" x14ac:dyDescent="0.25">
      <c r="J20" s="20"/>
    </row>
    <row r="21" spans="1:10" x14ac:dyDescent="0.25">
      <c r="J21" s="20"/>
    </row>
    <row r="22" spans="1:10" x14ac:dyDescent="0.25">
      <c r="J22" s="20"/>
    </row>
    <row r="23" spans="1:10" x14ac:dyDescent="0.25">
      <c r="J23" s="20"/>
    </row>
    <row r="24" spans="1:10" x14ac:dyDescent="0.25">
      <c r="J24" s="20"/>
    </row>
    <row r="25" spans="1:10" x14ac:dyDescent="0.25">
      <c r="J25" s="20"/>
    </row>
    <row r="26" spans="1:10" x14ac:dyDescent="0.25">
      <c r="J26" s="20"/>
    </row>
    <row r="27" spans="1:10" x14ac:dyDescent="0.25">
      <c r="J27" s="20"/>
    </row>
    <row r="28" spans="1:10" x14ac:dyDescent="0.25">
      <c r="J28" s="20"/>
    </row>
    <row r="29" spans="1:10" x14ac:dyDescent="0.25">
      <c r="J29" s="20"/>
    </row>
    <row r="30" spans="1:10" x14ac:dyDescent="0.25">
      <c r="J30" s="20"/>
    </row>
    <row r="31" spans="1:10" x14ac:dyDescent="0.25">
      <c r="J31" s="20"/>
    </row>
    <row r="32" spans="1:10" x14ac:dyDescent="0.25">
      <c r="J32" s="20"/>
    </row>
    <row r="33" spans="10:10" x14ac:dyDescent="0.25">
      <c r="J33" s="20"/>
    </row>
    <row r="34" spans="10:10" x14ac:dyDescent="0.25">
      <c r="J34" s="20"/>
    </row>
    <row r="35" spans="10:10" x14ac:dyDescent="0.25">
      <c r="J35" s="20"/>
    </row>
    <row r="36" spans="10:10" x14ac:dyDescent="0.25">
      <c r="J36" s="20"/>
    </row>
    <row r="37" spans="10:10" x14ac:dyDescent="0.25">
      <c r="J37" s="20"/>
    </row>
    <row r="38" spans="10:10" x14ac:dyDescent="0.25">
      <c r="J38" s="20"/>
    </row>
    <row r="39" spans="10:10" x14ac:dyDescent="0.25">
      <c r="J39" s="20"/>
    </row>
    <row r="40" spans="10:10" x14ac:dyDescent="0.25">
      <c r="J40" s="20"/>
    </row>
    <row r="41" spans="10:10" x14ac:dyDescent="0.25">
      <c r="J41" s="20"/>
    </row>
    <row r="42" spans="10:10" x14ac:dyDescent="0.25">
      <c r="J42" s="20"/>
    </row>
    <row r="43" spans="10:10" x14ac:dyDescent="0.25">
      <c r="J43" s="20"/>
    </row>
    <row r="44" spans="10:10" x14ac:dyDescent="0.25">
      <c r="J44" s="20"/>
    </row>
    <row r="45" spans="10:10" x14ac:dyDescent="0.25">
      <c r="J45" s="20"/>
    </row>
    <row r="46" spans="10:10" x14ac:dyDescent="0.25">
      <c r="J46" s="20"/>
    </row>
    <row r="47" spans="10:10" x14ac:dyDescent="0.25">
      <c r="J47" s="20"/>
    </row>
    <row r="48" spans="10:10" x14ac:dyDescent="0.25">
      <c r="J48" s="20"/>
    </row>
    <row r="49" spans="10:10" x14ac:dyDescent="0.25">
      <c r="J49" s="20"/>
    </row>
    <row r="50" spans="10:10" x14ac:dyDescent="0.25">
      <c r="J50" s="20"/>
    </row>
    <row r="51" spans="10:10" x14ac:dyDescent="0.25">
      <c r="J51" s="20"/>
    </row>
    <row r="52" spans="10:10" x14ac:dyDescent="0.25">
      <c r="J52" s="20"/>
    </row>
    <row r="53" spans="10:10" x14ac:dyDescent="0.25">
      <c r="J53" s="20"/>
    </row>
    <row r="54" spans="10:10" x14ac:dyDescent="0.25">
      <c r="J54" s="20"/>
    </row>
    <row r="55" spans="10:10" x14ac:dyDescent="0.25">
      <c r="J55" s="20"/>
    </row>
    <row r="56" spans="10:10" x14ac:dyDescent="0.25">
      <c r="J56" s="20"/>
    </row>
    <row r="57" spans="10:10" x14ac:dyDescent="0.25">
      <c r="J57" s="20"/>
    </row>
    <row r="58" spans="10:10" x14ac:dyDescent="0.25">
      <c r="J58" s="20"/>
    </row>
    <row r="59" spans="10:10" x14ac:dyDescent="0.25">
      <c r="J59" s="20"/>
    </row>
    <row r="60" spans="10:10" x14ac:dyDescent="0.25">
      <c r="J60" s="20"/>
    </row>
    <row r="61" spans="10:10" x14ac:dyDescent="0.25">
      <c r="J61" s="20"/>
    </row>
    <row r="62" spans="10:10" x14ac:dyDescent="0.25">
      <c r="J62" s="20"/>
    </row>
    <row r="63" spans="10:10" x14ac:dyDescent="0.25">
      <c r="J63" s="20"/>
    </row>
    <row r="64" spans="10:10" x14ac:dyDescent="0.25">
      <c r="J64" s="20"/>
    </row>
    <row r="65" spans="10:10" x14ac:dyDescent="0.25">
      <c r="J65" s="20"/>
    </row>
    <row r="66" spans="10:10" x14ac:dyDescent="0.25">
      <c r="J66" s="20"/>
    </row>
    <row r="67" spans="10:10" x14ac:dyDescent="0.25">
      <c r="J67" s="20"/>
    </row>
    <row r="68" spans="10:10" x14ac:dyDescent="0.25">
      <c r="J68" s="20"/>
    </row>
    <row r="69" spans="10:10" x14ac:dyDescent="0.25">
      <c r="J69" s="20"/>
    </row>
    <row r="70" spans="10:10" x14ac:dyDescent="0.25">
      <c r="J70" s="20"/>
    </row>
    <row r="71" spans="10:10" x14ac:dyDescent="0.25">
      <c r="J71" s="20"/>
    </row>
    <row r="72" spans="10:10" x14ac:dyDescent="0.25">
      <c r="J72" s="20"/>
    </row>
    <row r="73" spans="10:10" x14ac:dyDescent="0.25">
      <c r="J73" s="20"/>
    </row>
    <row r="74" spans="10:10" x14ac:dyDescent="0.25">
      <c r="J74" s="20"/>
    </row>
    <row r="75" spans="10:10" x14ac:dyDescent="0.25">
      <c r="J75" s="20"/>
    </row>
    <row r="76" spans="10:10" x14ac:dyDescent="0.25">
      <c r="J76" s="20"/>
    </row>
    <row r="77" spans="10:10" x14ac:dyDescent="0.25">
      <c r="J77" s="20"/>
    </row>
    <row r="78" spans="10:10" x14ac:dyDescent="0.25">
      <c r="J78" s="20"/>
    </row>
    <row r="79" spans="10:10" x14ac:dyDescent="0.25">
      <c r="J79" s="20"/>
    </row>
    <row r="80" spans="10:10" x14ac:dyDescent="0.25">
      <c r="J80" s="20"/>
    </row>
    <row r="81" spans="10:10" x14ac:dyDescent="0.25">
      <c r="J81" s="20"/>
    </row>
    <row r="82" spans="10:10" x14ac:dyDescent="0.25">
      <c r="J82" s="20"/>
    </row>
    <row r="83" spans="10:10" x14ac:dyDescent="0.25">
      <c r="J83" s="20"/>
    </row>
    <row r="84" spans="10:10" x14ac:dyDescent="0.25">
      <c r="J84" s="20"/>
    </row>
    <row r="85" spans="10:10" x14ac:dyDescent="0.25">
      <c r="J85" s="20"/>
    </row>
    <row r="86" spans="10:10" x14ac:dyDescent="0.25">
      <c r="J86" s="20"/>
    </row>
    <row r="87" spans="10:10" x14ac:dyDescent="0.25">
      <c r="J87" s="20"/>
    </row>
    <row r="88" spans="10:10" x14ac:dyDescent="0.25">
      <c r="J88" s="20"/>
    </row>
    <row r="89" spans="10:10" x14ac:dyDescent="0.25">
      <c r="J89" s="20"/>
    </row>
    <row r="90" spans="10:10" x14ac:dyDescent="0.25">
      <c r="J90" s="20"/>
    </row>
    <row r="91" spans="10:10" x14ac:dyDescent="0.25">
      <c r="J91" s="20"/>
    </row>
    <row r="92" spans="10:10" x14ac:dyDescent="0.25">
      <c r="J92" s="20"/>
    </row>
    <row r="93" spans="10:10" x14ac:dyDescent="0.25">
      <c r="J93" s="20"/>
    </row>
    <row r="94" spans="10:10" x14ac:dyDescent="0.25">
      <c r="J94" s="20"/>
    </row>
    <row r="95" spans="10:10" x14ac:dyDescent="0.25">
      <c r="J95" s="20"/>
    </row>
    <row r="96" spans="10:10" x14ac:dyDescent="0.25">
      <c r="J96" s="20"/>
    </row>
    <row r="97" spans="10:10" x14ac:dyDescent="0.25">
      <c r="J97" s="20"/>
    </row>
    <row r="98" spans="10:10" x14ac:dyDescent="0.25">
      <c r="J98" s="20"/>
    </row>
    <row r="99" spans="10:10" x14ac:dyDescent="0.25">
      <c r="J99" s="20"/>
    </row>
    <row r="100" spans="10:10" x14ac:dyDescent="0.25">
      <c r="J100" s="20"/>
    </row>
  </sheetData>
  <mergeCells count="8">
    <mergeCell ref="AQ1:AV1"/>
    <mergeCell ref="AR2:AS2"/>
    <mergeCell ref="AU2:AV2"/>
    <mergeCell ref="Z1:AF1"/>
    <mergeCell ref="Z2:AF2"/>
    <mergeCell ref="AH1:AM1"/>
    <mergeCell ref="AI2:AJ2"/>
    <mergeCell ref="AL2:AM2"/>
  </mergeCells>
  <conditionalFormatting sqref="F2:X100">
    <cfRule type="expression" dxfId="75" priority="13">
      <formula>$F2&lt;&gt;""</formula>
    </cfRule>
  </conditionalFormatting>
  <conditionalFormatting sqref="L2:M100">
    <cfRule type="expression" dxfId="74" priority="11">
      <formula>$L2&gt;0</formula>
    </cfRule>
    <cfRule type="expression" dxfId="73" priority="12">
      <formula>$L2&lt;0</formula>
    </cfRule>
  </conditionalFormatting>
  <conditionalFormatting sqref="AI2">
    <cfRule type="expression" dxfId="72" priority="8">
      <formula>$AI$2&gt;0</formula>
    </cfRule>
    <cfRule type="expression" dxfId="71" priority="9">
      <formula>$AI$2&lt;0</formula>
    </cfRule>
  </conditionalFormatting>
  <conditionalFormatting sqref="AL2">
    <cfRule type="expression" dxfId="70" priority="5">
      <formula>$AL$2&gt;0</formula>
    </cfRule>
    <cfRule type="expression" dxfId="69" priority="6">
      <formula>$AL$2&lt;0</formula>
    </cfRule>
  </conditionalFormatting>
  <conditionalFormatting sqref="AR2">
    <cfRule type="expression" dxfId="68" priority="3">
      <formula>$AI$2&gt;0</formula>
    </cfRule>
    <cfRule type="expression" dxfId="67" priority="4">
      <formula>$AI$2&lt;0</formula>
    </cfRule>
  </conditionalFormatting>
  <conditionalFormatting sqref="AU2">
    <cfRule type="expression" dxfId="66" priority="1">
      <formula>$AL$2&gt;0</formula>
    </cfRule>
    <cfRule type="expression" dxfId="65" priority="2">
      <formula>$AL$2&lt;0</formula>
    </cfRule>
  </conditionalFormatting>
  <dataValidations count="1">
    <dataValidation type="list" allowBlank="1" showInputMessage="1" showErrorMessage="1" sqref="Z2" xr:uid="{BD2B7F54-7D84-49F8-9E20-F419DEB3AF19}">
      <formula1>_xlfn.ANCHORARRAY($W$2)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3AD61-5FE2-4A3A-AC5D-95F162AA373B}">
  <sheetPr codeName="Planilha7"/>
  <dimension ref="A1:Q2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1" sqref="Q1:Q1048576"/>
    </sheetView>
  </sheetViews>
  <sheetFormatPr defaultRowHeight="15" x14ac:dyDescent="0.25"/>
  <cols>
    <col min="1" max="1" width="7.28515625" style="37" bestFit="1" customWidth="1"/>
    <col min="2" max="2" width="12.140625" style="2" bestFit="1" customWidth="1"/>
    <col min="3" max="3" width="16.140625" style="2" bestFit="1" customWidth="1"/>
    <col min="4" max="4" width="14.85546875" style="2" bestFit="1" customWidth="1"/>
    <col min="5" max="5" width="15.42578125" style="2" bestFit="1" customWidth="1"/>
    <col min="6" max="6" width="17.85546875" style="2" bestFit="1" customWidth="1"/>
    <col min="7" max="7" width="17.7109375" style="2" bestFit="1" customWidth="1"/>
    <col min="8" max="8" width="17.5703125" style="2" bestFit="1" customWidth="1"/>
    <col min="9" max="9" width="13.28515625" style="2" bestFit="1" customWidth="1"/>
    <col min="10" max="10" width="16.28515625" style="2" bestFit="1" customWidth="1"/>
    <col min="11" max="11" width="22" style="2" bestFit="1" customWidth="1"/>
    <col min="12" max="12" width="16.28515625" style="2" bestFit="1" customWidth="1"/>
    <col min="13" max="13" width="16.5703125" style="2" bestFit="1" customWidth="1"/>
    <col min="14" max="14" width="15.5703125" style="2" bestFit="1" customWidth="1"/>
    <col min="15" max="15" width="20.28515625" style="2" bestFit="1" customWidth="1"/>
    <col min="16" max="16" width="16.5703125" style="2" customWidth="1"/>
    <col min="17" max="17" width="14.5703125" bestFit="1" customWidth="1"/>
  </cols>
  <sheetData>
    <row r="1" spans="1:17" x14ac:dyDescent="0.25">
      <c r="A1" s="36" t="s">
        <v>76</v>
      </c>
      <c r="B1" s="35" t="s">
        <v>77</v>
      </c>
      <c r="C1" s="35" t="s">
        <v>44</v>
      </c>
      <c r="D1" s="35" t="s">
        <v>86</v>
      </c>
      <c r="E1" s="35" t="s">
        <v>73</v>
      </c>
      <c r="F1" s="35" t="s">
        <v>90</v>
      </c>
      <c r="G1" s="35" t="s">
        <v>88</v>
      </c>
      <c r="H1" s="35" t="s">
        <v>89</v>
      </c>
      <c r="I1" s="35" t="s">
        <v>78</v>
      </c>
      <c r="J1" s="35" t="s">
        <v>87</v>
      </c>
      <c r="K1" s="35" t="s">
        <v>79</v>
      </c>
      <c r="L1" s="34" t="s">
        <v>80</v>
      </c>
      <c r="M1" s="34" t="s">
        <v>81</v>
      </c>
      <c r="N1" s="35" t="s">
        <v>82</v>
      </c>
      <c r="O1" s="34" t="s">
        <v>95</v>
      </c>
      <c r="P1" s="34" t="s">
        <v>83</v>
      </c>
      <c r="Q1" s="90" t="s">
        <v>1889</v>
      </c>
    </row>
    <row r="2" spans="1:17" x14ac:dyDescent="0.25">
      <c r="A2" s="37">
        <v>43831</v>
      </c>
      <c r="B2" s="2" cm="1">
        <f t="array" ref="B2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" s="2" cm="1">
        <f t="array" ref="C2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" s="2" cm="1">
        <f t="array" ref="I2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" s="2">
        <f>SUM(TabelaIR[[#This Row],[Resultado Ação]:[Resultado Opção]])-TabelaIR[[#This Row],[Lucro Isento]]</f>
        <v>0</v>
      </c>
      <c r="K2" s="2">
        <f t="shared" ref="K2:K23" si="0">IF(ROW()=2,0,IF(K1+J1&gt;=0,0,K1+J1))</f>
        <v>0</v>
      </c>
      <c r="L2" s="2">
        <f>IF(TabelaIR[[#This Row],[Resultado Total]]+TabelaIR[[#This Row],[Prejuízo a Compensar]]&gt;0,TabelaIR[[#This Row],[Resultado Total]]+TabelaIR[[#This Row],[Prejuízo a Compensar]],0)</f>
        <v>0</v>
      </c>
      <c r="M2" s="24">
        <f>ROUNDDOWN(TabelaIR[[#This Row],[Base de Cálculo]]*15%,2)</f>
        <v>0</v>
      </c>
      <c r="N2" s="2" cm="1">
        <f t="array" ref="N2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" s="2">
        <f>IF(TabelaIR[[#This Row],[Imposto Devido]]+TabelaIR[[#This Row],[I.R.R.F Compensado]]&lt;0,0,TabelaIR[[#This Row],[Imposto Devido]]+TabelaIR[[#This Row],[I.R.R.F Compensado]])</f>
        <v>0</v>
      </c>
      <c r="Q2" s="24"/>
    </row>
    <row r="3" spans="1:17" x14ac:dyDescent="0.25">
      <c r="A3" s="37">
        <f>EDATE(A2,1)</f>
        <v>43862</v>
      </c>
      <c r="B3" s="2" cm="1">
        <f t="array" ref="B3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3" s="2" cm="1">
        <f t="array" ref="C3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3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3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3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3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3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3" s="2" cm="1">
        <f t="array" ref="I3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3" s="2">
        <f>SUM(TabelaIR[[#This Row],[Resultado Ação]:[Resultado Opção]])-TabelaIR[[#This Row],[Lucro Isento]]</f>
        <v>0</v>
      </c>
      <c r="K3" s="2">
        <f t="shared" si="0"/>
        <v>0</v>
      </c>
      <c r="L3" s="2">
        <f>IF(TabelaIR[[#This Row],[Resultado Total]]+TabelaIR[[#This Row],[Prejuízo a Compensar]]&gt;0,TabelaIR[[#This Row],[Resultado Total]]+TabelaIR[[#This Row],[Prejuízo a Compensar]],0)</f>
        <v>0</v>
      </c>
      <c r="M3" s="24">
        <f>ROUNDDOWN(TabelaIR[[#This Row],[Base de Cálculo]]*15%,2)</f>
        <v>0</v>
      </c>
      <c r="N3" s="2" cm="1">
        <f t="array" ref="N3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3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3" s="2">
        <f>IF(TabelaIR[[#This Row],[Imposto Devido]]+TabelaIR[[#This Row],[I.R.R.F Compensado]]&lt;0,0,TabelaIR[[#This Row],[Imposto Devido]]+TabelaIR[[#This Row],[I.R.R.F Compensado]])</f>
        <v>0</v>
      </c>
      <c r="Q3" s="24"/>
    </row>
    <row r="4" spans="1:17" x14ac:dyDescent="0.25">
      <c r="A4" s="37">
        <f t="shared" ref="A4:A25" si="1">EDATE(A3,1)</f>
        <v>43891</v>
      </c>
      <c r="B4" s="2" cm="1">
        <f t="array" ref="B4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4" s="2" cm="1">
        <f t="array" ref="C4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4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4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4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4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4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4" s="2" cm="1">
        <f t="array" ref="I4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4" s="2">
        <f>SUM(TabelaIR[[#This Row],[Resultado Ação]:[Resultado Opção]])-TabelaIR[[#This Row],[Lucro Isento]]</f>
        <v>0</v>
      </c>
      <c r="K4" s="2">
        <f t="shared" si="0"/>
        <v>0</v>
      </c>
      <c r="L4" s="2">
        <f>IF(TabelaIR[[#This Row],[Resultado Total]]+TabelaIR[[#This Row],[Prejuízo a Compensar]]&gt;0,TabelaIR[[#This Row],[Resultado Total]]+TabelaIR[[#This Row],[Prejuízo a Compensar]],0)</f>
        <v>0</v>
      </c>
      <c r="M4" s="24">
        <f>ROUNDDOWN(TabelaIR[[#This Row],[Base de Cálculo]]*15%,2)</f>
        <v>0</v>
      </c>
      <c r="N4" s="2" cm="1">
        <f t="array" ref="N4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4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4" s="2">
        <f>IF(TabelaIR[[#This Row],[Imposto Devido]]+TabelaIR[[#This Row],[I.R.R.F Compensado]]&lt;0,0,TabelaIR[[#This Row],[Imposto Devido]]+TabelaIR[[#This Row],[I.R.R.F Compensado]])</f>
        <v>0</v>
      </c>
      <c r="Q4" s="24"/>
    </row>
    <row r="5" spans="1:17" x14ac:dyDescent="0.25">
      <c r="A5" s="37">
        <f t="shared" si="1"/>
        <v>43922</v>
      </c>
      <c r="B5" s="2" cm="1">
        <f t="array" ref="B5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5" s="2" cm="1">
        <f t="array" ref="C5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5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5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5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5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5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5" s="2" cm="1">
        <f t="array" ref="I5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5" s="2">
        <f>SUM(TabelaIR[[#This Row],[Resultado Ação]:[Resultado Opção]])-TabelaIR[[#This Row],[Lucro Isento]]</f>
        <v>0</v>
      </c>
      <c r="K5" s="2">
        <f t="shared" si="0"/>
        <v>0</v>
      </c>
      <c r="L5" s="2">
        <f>IF(TabelaIR[[#This Row],[Resultado Total]]+TabelaIR[[#This Row],[Prejuízo a Compensar]]&gt;0,TabelaIR[[#This Row],[Resultado Total]]+TabelaIR[[#This Row],[Prejuízo a Compensar]],0)</f>
        <v>0</v>
      </c>
      <c r="M5" s="24">
        <f>ROUNDDOWN(TabelaIR[[#This Row],[Base de Cálculo]]*15%,2)</f>
        <v>0</v>
      </c>
      <c r="N5" s="2" cm="1">
        <f t="array" ref="N5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5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5" s="2">
        <f>IF(TabelaIR[[#This Row],[Imposto Devido]]+TabelaIR[[#This Row],[I.R.R.F Compensado]]&lt;0,0,TabelaIR[[#This Row],[Imposto Devido]]+TabelaIR[[#This Row],[I.R.R.F Compensado]])</f>
        <v>0</v>
      </c>
      <c r="Q5" s="24"/>
    </row>
    <row r="6" spans="1:17" x14ac:dyDescent="0.25">
      <c r="A6" s="37">
        <f t="shared" si="1"/>
        <v>43952</v>
      </c>
      <c r="B6" s="2" cm="1">
        <f t="array" ref="B6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6" s="2" cm="1">
        <f t="array" ref="C6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6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6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6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6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6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6" s="2" cm="1">
        <f t="array" ref="I6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6" s="2">
        <f>SUM(TabelaIR[[#This Row],[Resultado Ação]:[Resultado Opção]])-TabelaIR[[#This Row],[Lucro Isento]]</f>
        <v>0</v>
      </c>
      <c r="K6" s="2">
        <f t="shared" si="0"/>
        <v>0</v>
      </c>
      <c r="L6" s="2">
        <f>IF(TabelaIR[[#This Row],[Resultado Total]]+TabelaIR[[#This Row],[Prejuízo a Compensar]]&gt;0,TabelaIR[[#This Row],[Resultado Total]]+TabelaIR[[#This Row],[Prejuízo a Compensar]],0)</f>
        <v>0</v>
      </c>
      <c r="M6" s="24">
        <f>ROUNDDOWN(TabelaIR[[#This Row],[Base de Cálculo]]*15%,2)</f>
        <v>0</v>
      </c>
      <c r="N6" s="2" cm="1">
        <f t="array" ref="N6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6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6" s="2">
        <f>IF(TabelaIR[[#This Row],[Imposto Devido]]+TabelaIR[[#This Row],[I.R.R.F Compensado]]&lt;0,0,TabelaIR[[#This Row],[Imposto Devido]]+TabelaIR[[#This Row],[I.R.R.F Compensado]])</f>
        <v>0</v>
      </c>
      <c r="Q6" s="24"/>
    </row>
    <row r="7" spans="1:17" x14ac:dyDescent="0.25">
      <c r="A7" s="37">
        <f t="shared" si="1"/>
        <v>43983</v>
      </c>
      <c r="B7" s="2" cm="1">
        <f t="array" ref="B7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7" s="2" cm="1">
        <f t="array" ref="C7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7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7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7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7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7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7" s="2" cm="1">
        <f t="array" ref="I7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7" s="2">
        <f>SUM(TabelaIR[[#This Row],[Resultado Ação]:[Resultado Opção]])-TabelaIR[[#This Row],[Lucro Isento]]</f>
        <v>0</v>
      </c>
      <c r="K7" s="2">
        <f t="shared" si="0"/>
        <v>0</v>
      </c>
      <c r="L7" s="2">
        <f>IF(TabelaIR[[#This Row],[Resultado Total]]+TabelaIR[[#This Row],[Prejuízo a Compensar]]&gt;0,TabelaIR[[#This Row],[Resultado Total]]+TabelaIR[[#This Row],[Prejuízo a Compensar]],0)</f>
        <v>0</v>
      </c>
      <c r="M7" s="24">
        <f>ROUNDDOWN(TabelaIR[[#This Row],[Base de Cálculo]]*15%,2)</f>
        <v>0</v>
      </c>
      <c r="N7" s="2" cm="1">
        <f t="array" ref="N7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7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7" s="2">
        <f>IF(TabelaIR[[#This Row],[Imposto Devido]]+TabelaIR[[#This Row],[I.R.R.F Compensado]]&lt;0,0,TabelaIR[[#This Row],[Imposto Devido]]+TabelaIR[[#This Row],[I.R.R.F Compensado]])</f>
        <v>0</v>
      </c>
      <c r="Q7" s="24"/>
    </row>
    <row r="8" spans="1:17" x14ac:dyDescent="0.25">
      <c r="A8" s="37">
        <f t="shared" si="1"/>
        <v>44013</v>
      </c>
      <c r="B8" s="2" cm="1">
        <f t="array" ref="B8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8" s="2" cm="1">
        <f t="array" ref="C8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8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8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8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8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8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8" s="2" cm="1">
        <f t="array" ref="I8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8" s="2">
        <f>SUM(TabelaIR[[#This Row],[Resultado Ação]:[Resultado Opção]])-TabelaIR[[#This Row],[Lucro Isento]]</f>
        <v>0</v>
      </c>
      <c r="K8" s="2">
        <f t="shared" si="0"/>
        <v>0</v>
      </c>
      <c r="L8" s="2">
        <f>IF(TabelaIR[[#This Row],[Resultado Total]]+TabelaIR[[#This Row],[Prejuízo a Compensar]]&gt;0,TabelaIR[[#This Row],[Resultado Total]]+TabelaIR[[#This Row],[Prejuízo a Compensar]],0)</f>
        <v>0</v>
      </c>
      <c r="M8" s="24">
        <f>ROUNDDOWN(TabelaIR[[#This Row],[Base de Cálculo]]*15%,2)</f>
        <v>0</v>
      </c>
      <c r="N8" s="2" cm="1">
        <f t="array" ref="N8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8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8" s="2">
        <f>IF(TabelaIR[[#This Row],[Imposto Devido]]+TabelaIR[[#This Row],[I.R.R.F Compensado]]&lt;0,0,TabelaIR[[#This Row],[Imposto Devido]]+TabelaIR[[#This Row],[I.R.R.F Compensado]])</f>
        <v>0</v>
      </c>
      <c r="Q8" s="24"/>
    </row>
    <row r="9" spans="1:17" x14ac:dyDescent="0.25">
      <c r="A9" s="37">
        <f t="shared" si="1"/>
        <v>44044</v>
      </c>
      <c r="B9" s="2" cm="1">
        <f t="array" ref="B9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9" s="2" cm="1">
        <f t="array" ref="C9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9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9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9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9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9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9" s="2" cm="1">
        <f t="array" ref="I9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9" s="2">
        <f>SUM(TabelaIR[[#This Row],[Resultado Ação]:[Resultado Opção]])-TabelaIR[[#This Row],[Lucro Isento]]</f>
        <v>0</v>
      </c>
      <c r="K9" s="2">
        <f t="shared" si="0"/>
        <v>0</v>
      </c>
      <c r="L9" s="2">
        <f>IF(TabelaIR[[#This Row],[Resultado Total]]+TabelaIR[[#This Row],[Prejuízo a Compensar]]&gt;0,TabelaIR[[#This Row],[Resultado Total]]+TabelaIR[[#This Row],[Prejuízo a Compensar]],0)</f>
        <v>0</v>
      </c>
      <c r="M9" s="24">
        <f>ROUNDDOWN(TabelaIR[[#This Row],[Base de Cálculo]]*15%,2)</f>
        <v>0</v>
      </c>
      <c r="N9" s="2" cm="1">
        <f t="array" ref="N9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9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9" s="2">
        <f>IF(TabelaIR[[#This Row],[Imposto Devido]]+TabelaIR[[#This Row],[I.R.R.F Compensado]]&lt;0,0,TabelaIR[[#This Row],[Imposto Devido]]+TabelaIR[[#This Row],[I.R.R.F Compensado]])</f>
        <v>0</v>
      </c>
      <c r="Q9" s="24"/>
    </row>
    <row r="10" spans="1:17" x14ac:dyDescent="0.25">
      <c r="A10" s="37">
        <f t="shared" si="1"/>
        <v>44075</v>
      </c>
      <c r="B10" s="2" cm="1">
        <f t="array" ref="B10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0" s="2" cm="1">
        <f t="array" ref="C10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0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0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0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0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0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0" s="2" cm="1">
        <f t="array" ref="I10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0" s="2">
        <f>SUM(TabelaIR[[#This Row],[Resultado Ação]:[Resultado Opção]])-TabelaIR[[#This Row],[Lucro Isento]]</f>
        <v>0</v>
      </c>
      <c r="K10" s="2">
        <f t="shared" si="0"/>
        <v>0</v>
      </c>
      <c r="L10" s="2">
        <f>IF(TabelaIR[[#This Row],[Resultado Total]]+TabelaIR[[#This Row],[Prejuízo a Compensar]]&gt;0,TabelaIR[[#This Row],[Resultado Total]]+TabelaIR[[#This Row],[Prejuízo a Compensar]],0)</f>
        <v>0</v>
      </c>
      <c r="M10" s="24">
        <f>ROUNDDOWN(TabelaIR[[#This Row],[Base de Cálculo]]*15%,2)</f>
        <v>0</v>
      </c>
      <c r="N10" s="2" cm="1">
        <f t="array" ref="N10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0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0" s="2">
        <f>IF(TabelaIR[[#This Row],[Imposto Devido]]+TabelaIR[[#This Row],[I.R.R.F Compensado]]&lt;0,0,TabelaIR[[#This Row],[Imposto Devido]]+TabelaIR[[#This Row],[I.R.R.F Compensado]])</f>
        <v>0</v>
      </c>
      <c r="Q10" s="24"/>
    </row>
    <row r="11" spans="1:17" x14ac:dyDescent="0.25">
      <c r="A11" s="37">
        <f t="shared" si="1"/>
        <v>44105</v>
      </c>
      <c r="B11" s="2" cm="1">
        <f t="array" ref="B11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1" s="2" cm="1">
        <f t="array" ref="C11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1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1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1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1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1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1" s="2" cm="1">
        <f t="array" ref="I11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1" s="2">
        <f>SUM(TabelaIR[[#This Row],[Resultado Ação]:[Resultado Opção]])-TabelaIR[[#This Row],[Lucro Isento]]</f>
        <v>0</v>
      </c>
      <c r="K11" s="2">
        <f t="shared" si="0"/>
        <v>0</v>
      </c>
      <c r="L11" s="2">
        <f>IF(TabelaIR[[#This Row],[Resultado Total]]+TabelaIR[[#This Row],[Prejuízo a Compensar]]&gt;0,TabelaIR[[#This Row],[Resultado Total]]+TabelaIR[[#This Row],[Prejuízo a Compensar]],0)</f>
        <v>0</v>
      </c>
      <c r="M11" s="24">
        <f>ROUNDDOWN(TabelaIR[[#This Row],[Base de Cálculo]]*15%,2)</f>
        <v>0</v>
      </c>
      <c r="N11" s="2" cm="1">
        <f t="array" ref="N11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1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1" s="2">
        <f>IF(TabelaIR[[#This Row],[Imposto Devido]]+TabelaIR[[#This Row],[I.R.R.F Compensado]]&lt;0,0,TabelaIR[[#This Row],[Imposto Devido]]+TabelaIR[[#This Row],[I.R.R.F Compensado]])</f>
        <v>0</v>
      </c>
      <c r="Q11" s="24"/>
    </row>
    <row r="12" spans="1:17" x14ac:dyDescent="0.25">
      <c r="A12" s="37">
        <f t="shared" si="1"/>
        <v>44136</v>
      </c>
      <c r="B12" s="2" cm="1">
        <f t="array" ref="B12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2" s="2" cm="1">
        <f t="array" ref="C12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2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2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2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2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2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2" s="2" cm="1">
        <f t="array" ref="I12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2" s="2">
        <f>SUM(TabelaIR[[#This Row],[Resultado Ação]:[Resultado Opção]])-TabelaIR[[#This Row],[Lucro Isento]]</f>
        <v>0</v>
      </c>
      <c r="K12" s="2">
        <f t="shared" si="0"/>
        <v>0</v>
      </c>
      <c r="L12" s="2">
        <f>IF(TabelaIR[[#This Row],[Resultado Total]]+TabelaIR[[#This Row],[Prejuízo a Compensar]]&gt;0,TabelaIR[[#This Row],[Resultado Total]]+TabelaIR[[#This Row],[Prejuízo a Compensar]],0)</f>
        <v>0</v>
      </c>
      <c r="M12" s="24">
        <f>ROUNDDOWN(TabelaIR[[#This Row],[Base de Cálculo]]*15%,2)</f>
        <v>0</v>
      </c>
      <c r="N12" s="2" cm="1">
        <f t="array" ref="N12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2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2" s="2">
        <f>IF(TabelaIR[[#This Row],[Imposto Devido]]+TabelaIR[[#This Row],[I.R.R.F Compensado]]&lt;0,0,TabelaIR[[#This Row],[Imposto Devido]]+TabelaIR[[#This Row],[I.R.R.F Compensado]])</f>
        <v>0</v>
      </c>
      <c r="Q12" s="24"/>
    </row>
    <row r="13" spans="1:17" x14ac:dyDescent="0.25">
      <c r="A13" s="37">
        <f t="shared" si="1"/>
        <v>44166</v>
      </c>
      <c r="B13" s="2" cm="1">
        <f t="array" ref="B13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3" s="2" cm="1">
        <f t="array" ref="C13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3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3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3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3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3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3" s="2" cm="1">
        <f t="array" ref="I13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3" s="2">
        <f>SUM(TabelaIR[[#This Row],[Resultado Ação]:[Resultado Opção]])-TabelaIR[[#This Row],[Lucro Isento]]</f>
        <v>0</v>
      </c>
      <c r="K13" s="2">
        <f t="shared" si="0"/>
        <v>0</v>
      </c>
      <c r="L13" s="2">
        <f>IF(TabelaIR[[#This Row],[Resultado Total]]+TabelaIR[[#This Row],[Prejuízo a Compensar]]&gt;0,TabelaIR[[#This Row],[Resultado Total]]+TabelaIR[[#This Row],[Prejuízo a Compensar]],0)</f>
        <v>0</v>
      </c>
      <c r="M13" s="24">
        <f>ROUNDDOWN(TabelaIR[[#This Row],[Base de Cálculo]]*15%,2)</f>
        <v>0</v>
      </c>
      <c r="N13" s="2" cm="1">
        <f t="array" ref="N13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3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3" s="2">
        <f>IF(TabelaIR[[#This Row],[Imposto Devido]]+TabelaIR[[#This Row],[I.R.R.F Compensado]]&lt;0,0,TabelaIR[[#This Row],[Imposto Devido]]+TabelaIR[[#This Row],[I.R.R.F Compensado]])</f>
        <v>0</v>
      </c>
      <c r="Q13" s="24"/>
    </row>
    <row r="14" spans="1:17" x14ac:dyDescent="0.25">
      <c r="A14" s="37">
        <f t="shared" si="1"/>
        <v>44197</v>
      </c>
      <c r="B14" s="2" cm="1">
        <f t="array" ref="B14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1657.8</v>
      </c>
      <c r="C14" s="2" cm="1">
        <f t="array" ref="C14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10.999999999999982</v>
      </c>
      <c r="D14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4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4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4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4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4" s="2" cm="1">
        <f t="array" ref="I14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10.999999999999982</v>
      </c>
      <c r="J14" s="2">
        <f>SUM(TabelaIR[[#This Row],[Resultado Ação]:[Resultado Opção]])-TabelaIR[[#This Row],[Lucro Isento]]</f>
        <v>0</v>
      </c>
      <c r="K14" s="2">
        <f t="shared" si="0"/>
        <v>0</v>
      </c>
      <c r="L14" s="2">
        <f>IF(TabelaIR[[#This Row],[Resultado Total]]+TabelaIR[[#This Row],[Prejuízo a Compensar]]&gt;0,TabelaIR[[#This Row],[Resultado Total]]+TabelaIR[[#This Row],[Prejuízo a Compensar]],0)</f>
        <v>0</v>
      </c>
      <c r="M14" s="24">
        <f>ROUNDDOWN(TabelaIR[[#This Row],[Base de Cálculo]]*15%,2)</f>
        <v>0</v>
      </c>
      <c r="N14" s="2" cm="1">
        <f t="array" ref="N14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-0.08</v>
      </c>
      <c r="O14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4" s="2">
        <f>IF(TabelaIR[[#This Row],[Imposto Devido]]+TabelaIR[[#This Row],[I.R.R.F Compensado]]&lt;0,0,TabelaIR[[#This Row],[Imposto Devido]]+TabelaIR[[#This Row],[I.R.R.F Compensado]])</f>
        <v>0</v>
      </c>
      <c r="Q14" s="24"/>
    </row>
    <row r="15" spans="1:17" x14ac:dyDescent="0.25">
      <c r="A15" s="37">
        <f t="shared" si="1"/>
        <v>44228</v>
      </c>
      <c r="B15" s="2" cm="1">
        <f t="array" ref="B15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5" s="2" cm="1">
        <f t="array" ref="C15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5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5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5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5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5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5" s="2" cm="1">
        <f t="array" ref="I15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5" s="2">
        <f>SUM(TabelaIR[[#This Row],[Resultado Ação]:[Resultado Opção]])-TabelaIR[[#This Row],[Lucro Isento]]</f>
        <v>0</v>
      </c>
      <c r="K15" s="2">
        <f t="shared" si="0"/>
        <v>0</v>
      </c>
      <c r="L15" s="2">
        <f>IF(TabelaIR[[#This Row],[Resultado Total]]+TabelaIR[[#This Row],[Prejuízo a Compensar]]&gt;0,TabelaIR[[#This Row],[Resultado Total]]+TabelaIR[[#This Row],[Prejuízo a Compensar]],0)</f>
        <v>0</v>
      </c>
      <c r="M15" s="24">
        <f>ROUNDDOWN(TabelaIR[[#This Row],[Base de Cálculo]]*15%,2)</f>
        <v>0</v>
      </c>
      <c r="N15" s="2" cm="1">
        <f t="array" ref="N15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5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5" s="2">
        <f>IF(TabelaIR[[#This Row],[Imposto Devido]]+TabelaIR[[#This Row],[I.R.R.F Compensado]]&lt;0,0,TabelaIR[[#This Row],[Imposto Devido]]+TabelaIR[[#This Row],[I.R.R.F Compensado]])</f>
        <v>0</v>
      </c>
      <c r="Q15" s="24"/>
    </row>
    <row r="16" spans="1:17" x14ac:dyDescent="0.25">
      <c r="A16" s="37">
        <f t="shared" si="1"/>
        <v>44256</v>
      </c>
      <c r="B16" s="2" cm="1">
        <f t="array" ref="B16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6" s="2" cm="1">
        <f t="array" ref="C16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6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6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6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6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6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6" s="2" cm="1">
        <f t="array" ref="I16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6" s="2">
        <f>SUM(TabelaIR[[#This Row],[Resultado Ação]:[Resultado Opção]])-TabelaIR[[#This Row],[Lucro Isento]]</f>
        <v>0</v>
      </c>
      <c r="K16" s="2">
        <f t="shared" si="0"/>
        <v>0</v>
      </c>
      <c r="L16" s="2">
        <f>IF(TabelaIR[[#This Row],[Resultado Total]]+TabelaIR[[#This Row],[Prejuízo a Compensar]]&gt;0,TabelaIR[[#This Row],[Resultado Total]]+TabelaIR[[#This Row],[Prejuízo a Compensar]],0)</f>
        <v>0</v>
      </c>
      <c r="M16" s="24">
        <f>ROUNDDOWN(TabelaIR[[#This Row],[Base de Cálculo]]*15%,2)</f>
        <v>0</v>
      </c>
      <c r="N16" s="2" cm="1">
        <f t="array" ref="N16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6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6" s="2">
        <f>IF(TabelaIR[[#This Row],[Imposto Devido]]+TabelaIR[[#This Row],[I.R.R.F Compensado]]&lt;0,0,TabelaIR[[#This Row],[Imposto Devido]]+TabelaIR[[#This Row],[I.R.R.F Compensado]])</f>
        <v>0</v>
      </c>
      <c r="Q16" s="24"/>
    </row>
    <row r="17" spans="1:17" x14ac:dyDescent="0.25">
      <c r="A17" s="37">
        <f t="shared" si="1"/>
        <v>44287</v>
      </c>
      <c r="B17" s="2" cm="1">
        <f t="array" ref="B17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7" s="2" cm="1">
        <f t="array" ref="C17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7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7" s="2">
        <f>SUMIFS(TabelaMovimentacoes[Valor],TabelaMovimentacoes[Tipo],"Resultado BDR",TabelaMovimentacoes[Data Pregão],"&gt;="&amp;TabelaIR[[#This Row],[Mês]],TabelaMovimentacoes[Data Pregão],"&lt;="&amp;EOMONTH(TabelaIR[[#This Row],[Mês]],0))</f>
        <v>27.16</v>
      </c>
      <c r="F17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7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7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7" s="2" cm="1">
        <f t="array" ref="I17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7" s="2">
        <f>SUM(TabelaIR[[#This Row],[Resultado Ação]:[Resultado Opção]])-TabelaIR[[#This Row],[Lucro Isento]]</f>
        <v>27.16</v>
      </c>
      <c r="K17" s="2">
        <f t="shared" si="0"/>
        <v>0</v>
      </c>
      <c r="L17" s="2">
        <f>IF(TabelaIR[[#This Row],[Resultado Total]]+TabelaIR[[#This Row],[Prejuízo a Compensar]]&gt;0,TabelaIR[[#This Row],[Resultado Total]]+TabelaIR[[#This Row],[Prejuízo a Compensar]],0)</f>
        <v>27.16</v>
      </c>
      <c r="M17" s="24">
        <f>ROUNDDOWN(TabelaIR[[#This Row],[Base de Cálculo]]*15%,2)</f>
        <v>4.07</v>
      </c>
      <c r="N17" s="2" cm="1">
        <f t="array" ref="N17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-0.03</v>
      </c>
      <c r="O17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-0.11</v>
      </c>
      <c r="P17" s="2">
        <f>IF(TabelaIR[[#This Row],[Imposto Devido]]+TabelaIR[[#This Row],[I.R.R.F Compensado]]&lt;0,0,TabelaIR[[#This Row],[Imposto Devido]]+TabelaIR[[#This Row],[I.R.R.F Compensado]])</f>
        <v>3.9600000000000004</v>
      </c>
      <c r="Q17" s="24"/>
    </row>
    <row r="18" spans="1:17" x14ac:dyDescent="0.25">
      <c r="A18" s="37">
        <f t="shared" si="1"/>
        <v>44317</v>
      </c>
      <c r="B18" s="2" cm="1">
        <f t="array" ref="B18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604.20000000000005</v>
      </c>
      <c r="C18" s="2" cm="1">
        <f t="array" ref="C18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-7.5</v>
      </c>
      <c r="D18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8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8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8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8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8" s="2" cm="1">
        <f t="array" ref="I18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8" s="2">
        <f>SUM(TabelaIR[[#This Row],[Resultado Ação]:[Resultado Opção]])-TabelaIR[[#This Row],[Lucro Isento]]</f>
        <v>-7.5</v>
      </c>
      <c r="K18" s="2">
        <f t="shared" si="0"/>
        <v>0</v>
      </c>
      <c r="L18" s="2">
        <f>IF(TabelaIR[[#This Row],[Resultado Total]]+TabelaIR[[#This Row],[Prejuízo a Compensar]]&gt;0,TabelaIR[[#This Row],[Resultado Total]]+TabelaIR[[#This Row],[Prejuízo a Compensar]],0)</f>
        <v>0</v>
      </c>
      <c r="M18" s="24">
        <f>ROUNDDOWN(TabelaIR[[#This Row],[Base de Cálculo]]*15%,2)</f>
        <v>0</v>
      </c>
      <c r="N18" s="2" cm="1">
        <f t="array" ref="N18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-0.05</v>
      </c>
      <c r="O18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8" s="2">
        <f>IF(TabelaIR[[#This Row],[Imposto Devido]]+TabelaIR[[#This Row],[I.R.R.F Compensado]]&lt;0,0,TabelaIR[[#This Row],[Imposto Devido]]+TabelaIR[[#This Row],[I.R.R.F Compensado]])</f>
        <v>0</v>
      </c>
      <c r="Q18" s="24"/>
    </row>
    <row r="19" spans="1:17" x14ac:dyDescent="0.25">
      <c r="A19" s="37">
        <f t="shared" si="1"/>
        <v>44348</v>
      </c>
      <c r="B19" s="2" cm="1">
        <f t="array" ref="B19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19" s="2" cm="1">
        <f t="array" ref="C19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19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19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19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19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19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19" s="2" cm="1">
        <f t="array" ref="I19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19" s="2">
        <f>SUM(TabelaIR[[#This Row],[Resultado Ação]:[Resultado Opção]])-TabelaIR[[#This Row],[Lucro Isento]]</f>
        <v>0</v>
      </c>
      <c r="K19" s="2">
        <f t="shared" si="0"/>
        <v>-7.5</v>
      </c>
      <c r="L19" s="2">
        <f>IF(TabelaIR[[#This Row],[Resultado Total]]+TabelaIR[[#This Row],[Prejuízo a Compensar]]&gt;0,TabelaIR[[#This Row],[Resultado Total]]+TabelaIR[[#This Row],[Prejuízo a Compensar]],0)</f>
        <v>0</v>
      </c>
      <c r="M19" s="24">
        <f>ROUNDDOWN(TabelaIR[[#This Row],[Base de Cálculo]]*15%,2)</f>
        <v>0</v>
      </c>
      <c r="N19" s="2" cm="1">
        <f t="array" ref="N19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19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19" s="2">
        <f>IF(TabelaIR[[#This Row],[Imposto Devido]]+TabelaIR[[#This Row],[I.R.R.F Compensado]]&lt;0,0,TabelaIR[[#This Row],[Imposto Devido]]+TabelaIR[[#This Row],[I.R.R.F Compensado]])</f>
        <v>0</v>
      </c>
      <c r="Q19" s="24"/>
    </row>
    <row r="20" spans="1:17" x14ac:dyDescent="0.25">
      <c r="A20" s="37">
        <f t="shared" si="1"/>
        <v>44378</v>
      </c>
      <c r="B20" s="2" cm="1">
        <f t="array" ref="B20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4827.04</v>
      </c>
      <c r="C20" s="2" cm="1">
        <f t="array" ref="C20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331.63</v>
      </c>
      <c r="D20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0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0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0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0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0" s="2" cm="1">
        <f t="array" ref="I20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331.63</v>
      </c>
      <c r="J20" s="2">
        <f>SUM(TabelaIR[[#This Row],[Resultado Ação]:[Resultado Opção]])-TabelaIR[[#This Row],[Lucro Isento]]</f>
        <v>0</v>
      </c>
      <c r="K20" s="2">
        <f t="shared" si="0"/>
        <v>-7.5</v>
      </c>
      <c r="L20" s="2">
        <f>IF(TabelaIR[[#This Row],[Resultado Total]]+TabelaIR[[#This Row],[Prejuízo a Compensar]]&gt;0,TabelaIR[[#This Row],[Resultado Total]]+TabelaIR[[#This Row],[Prejuízo a Compensar]],0)</f>
        <v>0</v>
      </c>
      <c r="M20" s="24">
        <f>ROUNDDOWN(TabelaIR[[#This Row],[Base de Cálculo]]*15%,2)</f>
        <v>0</v>
      </c>
      <c r="N20" s="2" cm="1">
        <f t="array" ref="N20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-0.25</v>
      </c>
      <c r="O20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0" s="2">
        <f>IF(TabelaIR[[#This Row],[Imposto Devido]]+TabelaIR[[#This Row],[I.R.R.F Compensado]]&lt;0,0,TabelaIR[[#This Row],[Imposto Devido]]+TabelaIR[[#This Row],[I.R.R.F Compensado]])</f>
        <v>0</v>
      </c>
      <c r="Q20" s="24"/>
    </row>
    <row r="21" spans="1:17" x14ac:dyDescent="0.25">
      <c r="A21" s="37">
        <f t="shared" si="1"/>
        <v>44409</v>
      </c>
      <c r="B21" s="2" cm="1">
        <f t="array" ref="B21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1" s="2" cm="1">
        <f t="array" ref="C21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1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1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1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1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1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1" s="2" cm="1">
        <f t="array" ref="I21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1" s="2">
        <f>SUM(TabelaIR[[#This Row],[Resultado Ação]:[Resultado Opção]])-TabelaIR[[#This Row],[Lucro Isento]]</f>
        <v>0</v>
      </c>
      <c r="K21" s="2">
        <f t="shared" si="0"/>
        <v>-7.5</v>
      </c>
      <c r="L21" s="2">
        <f>IF(TabelaIR[[#This Row],[Resultado Total]]+TabelaIR[[#This Row],[Prejuízo a Compensar]]&gt;0,TabelaIR[[#This Row],[Resultado Total]]+TabelaIR[[#This Row],[Prejuízo a Compensar]],0)</f>
        <v>0</v>
      </c>
      <c r="M21" s="24">
        <f>ROUNDDOWN(TabelaIR[[#This Row],[Base de Cálculo]]*15%,2)</f>
        <v>0</v>
      </c>
      <c r="N21" s="2" cm="1">
        <f t="array" ref="N21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1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1" s="2">
        <f>IF(TabelaIR[[#This Row],[Imposto Devido]]+TabelaIR[[#This Row],[I.R.R.F Compensado]]&lt;0,0,TabelaIR[[#This Row],[Imposto Devido]]+TabelaIR[[#This Row],[I.R.R.F Compensado]])</f>
        <v>0</v>
      </c>
      <c r="Q21" s="24"/>
    </row>
    <row r="22" spans="1:17" x14ac:dyDescent="0.25">
      <c r="A22" s="37">
        <f t="shared" si="1"/>
        <v>44440</v>
      </c>
      <c r="B22" s="2" cm="1">
        <f t="array" ref="B22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2" s="2" cm="1">
        <f t="array" ref="C22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2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2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2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2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2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2" s="2" cm="1">
        <f t="array" ref="I22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2" s="2">
        <f>SUM(TabelaIR[[#This Row],[Resultado Ação]:[Resultado Opção]])-TabelaIR[[#This Row],[Lucro Isento]]</f>
        <v>0</v>
      </c>
      <c r="K22" s="2">
        <f t="shared" si="0"/>
        <v>-7.5</v>
      </c>
      <c r="L22" s="2">
        <f>IF(TabelaIR[[#This Row],[Resultado Total]]+TabelaIR[[#This Row],[Prejuízo a Compensar]]&gt;0,TabelaIR[[#This Row],[Resultado Total]]+TabelaIR[[#This Row],[Prejuízo a Compensar]],0)</f>
        <v>0</v>
      </c>
      <c r="M22" s="24">
        <f>ROUNDDOWN(TabelaIR[[#This Row],[Base de Cálculo]]*15%,2)</f>
        <v>0</v>
      </c>
      <c r="N22" s="2" cm="1">
        <f t="array" ref="N22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2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2" s="2">
        <f>IF(TabelaIR[[#This Row],[Imposto Devido]]+TabelaIR[[#This Row],[I.R.R.F Compensado]]&lt;0,0,TabelaIR[[#This Row],[Imposto Devido]]+TabelaIR[[#This Row],[I.R.R.F Compensado]])</f>
        <v>0</v>
      </c>
      <c r="Q22" s="24"/>
    </row>
    <row r="23" spans="1:17" x14ac:dyDescent="0.25">
      <c r="A23" s="37">
        <f t="shared" si="1"/>
        <v>44470</v>
      </c>
      <c r="B23" s="2" cm="1">
        <f t="array" ref="B23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3" s="2" cm="1">
        <f t="array" ref="C23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3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3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3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3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3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3" s="2" cm="1">
        <f t="array" ref="I23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3" s="2">
        <f>SUM(TabelaIR[[#This Row],[Resultado Ação]:[Resultado Opção]])-TabelaIR[[#This Row],[Lucro Isento]]</f>
        <v>0</v>
      </c>
      <c r="K23" s="2">
        <f t="shared" si="0"/>
        <v>-7.5</v>
      </c>
      <c r="L23" s="2">
        <f>IF(TabelaIR[[#This Row],[Resultado Total]]+TabelaIR[[#This Row],[Prejuízo a Compensar]]&gt;0,TabelaIR[[#This Row],[Resultado Total]]+TabelaIR[[#This Row],[Prejuízo a Compensar]],0)</f>
        <v>0</v>
      </c>
      <c r="M23" s="24">
        <f>ROUNDDOWN(TabelaIR[[#This Row],[Base de Cálculo]]*15%,2)</f>
        <v>0</v>
      </c>
      <c r="N23" s="2" cm="1">
        <f t="array" ref="N23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3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3" s="2">
        <f>IF(TabelaIR[[#This Row],[Imposto Devido]]+TabelaIR[[#This Row],[I.R.R.F Compensado]]&lt;0,0,TabelaIR[[#This Row],[Imposto Devido]]+TabelaIR[[#This Row],[I.R.R.F Compensado]])</f>
        <v>0</v>
      </c>
      <c r="Q23" s="24"/>
    </row>
    <row r="24" spans="1:17" x14ac:dyDescent="0.25">
      <c r="A24" s="37">
        <f t="shared" si="1"/>
        <v>44501</v>
      </c>
      <c r="B24" s="2" cm="1">
        <f t="array" ref="B24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4" s="2" cm="1">
        <f t="array" ref="C24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4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4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4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4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4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4" s="2" cm="1">
        <f t="array" ref="I24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4" s="2">
        <f>SUM(TabelaIR[[#This Row],[Resultado Ação]:[Resultado Opção]])-TabelaIR[[#This Row],[Lucro Isento]]</f>
        <v>0</v>
      </c>
      <c r="K24" s="2">
        <f t="shared" ref="K24:K25" si="2">IF(ROW()=2,0,IF(K23+J23&gt;=0,0,K23+J23))</f>
        <v>-7.5</v>
      </c>
      <c r="L24" s="2">
        <f>IF(TabelaIR[[#This Row],[Resultado Total]]+TabelaIR[[#This Row],[Prejuízo a Compensar]]&gt;0,TabelaIR[[#This Row],[Resultado Total]]+TabelaIR[[#This Row],[Prejuízo a Compensar]],0)</f>
        <v>0</v>
      </c>
      <c r="M24" s="24">
        <f>ROUNDDOWN(TabelaIR[[#This Row],[Base de Cálculo]]*15%,2)</f>
        <v>0</v>
      </c>
      <c r="N24" s="2" cm="1">
        <f t="array" ref="N24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4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4" s="2">
        <f>IF(TabelaIR[[#This Row],[Imposto Devido]]+TabelaIR[[#This Row],[I.R.R.F Compensado]]&lt;0,0,TabelaIR[[#This Row],[Imposto Devido]]+TabelaIR[[#This Row],[I.R.R.F Compensado]])</f>
        <v>0</v>
      </c>
      <c r="Q24" s="24"/>
    </row>
    <row r="25" spans="1:17" x14ac:dyDescent="0.25">
      <c r="A25" s="37">
        <f t="shared" si="1"/>
        <v>44531</v>
      </c>
      <c r="B25" s="2" cm="1">
        <f t="array" ref="B25" xml:space="preserve">
SUMIFS(TabelaNotas[Valor Operação],TabelaNotas[C/V],"V",TabelaNotas[Tipo],"Ação",TabelaNotas[Data Pregão],"&gt;="&amp;TabelaIR[[#This Row],[Mês]],TabelaNotas[Data Pregão],"&lt;="&amp;EOMONTH(TabelaIR[[#This Row],[Mês]],0))
-
SUM(SUMIFS(TabelaNotas[Valor Operação],TabelaNotas[C/V],"V",TabelaNotas[Tipo],"Ação",TabelaNotas[Data Pregão],"&gt;="&amp;TabelaIR[[#This Row],[Mês]],TabelaNotas[Data Pregão],"&lt;="&amp;EOMONTH(TabelaIR[[#This Row],[Mês]],0),TabelaNotas[Ticker],AcoesIsentas[Ação],TabelaNotas[Data Pregão],"&lt;=31/12/2023"))</f>
        <v>0</v>
      </c>
      <c r="C25" s="2" cm="1">
        <f t="array" ref="C25">SUMIFS(TabelaMovimentacoes[Valor],TabelaMovimentacoes[Tipo],"Resultado Ação",TabelaMovimentacoes[Data Pregão],"&gt;="&amp;TabelaIR[[#This Row],[Mês]],TabelaMovimentacoes[Data Pregão],"&lt;="&amp;EOMONTH(TabelaIR[[#This Row],[Mês]],0))
-
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</f>
        <v>0</v>
      </c>
      <c r="D25" s="2">
        <f>SUMIFS(TabelaMovimentacoes[Valor],TabelaMovimentacoes[Tipo],"Resultado ETF",TabelaMovimentacoes[Data Pregão],"&gt;="&amp;TabelaIR[[#This Row],[Mês]],TabelaMovimentacoes[Data Pregão],"&lt;="&amp;EOMONTH(TabelaIR[[#This Row],[Mês]],0))</f>
        <v>0</v>
      </c>
      <c r="E25" s="2">
        <f>SUMIFS(TabelaMovimentacoes[Valor],TabelaMovimentacoes[Tipo],"Resultado BDR",TabelaMovimentacoes[Data Pregão],"&gt;="&amp;TabelaIR[[#This Row],[Mês]],TabelaMovimentacoes[Data Pregão],"&lt;="&amp;EOMONTH(TabelaIR[[#This Row],[Mês]],0))</f>
        <v>0</v>
      </c>
      <c r="F25" s="2">
        <f>SUMIFS(TabelaMovimentacoes[Valor],TabelaMovimentacoes[Tipo],"Resultado Futuro",TabelaMovimentacoes[Data Pregão],"&gt;="&amp;TabelaIR[[#This Row],[Mês]],TabelaMovimentacoes[Data Pregão],"&lt;="&amp;EOMONTH(TabelaIR[[#This Row],[Mês]],0))</f>
        <v>0</v>
      </c>
      <c r="G25" s="2">
        <f>SUMIFS(TabelaMovimentacoes[Valor],TabelaMovimentacoes[Tipo],"Resultado Termo",TabelaMovimentacoes[Data Pregão],"&gt;="&amp;TabelaIR[[#This Row],[Mês]],TabelaMovimentacoes[Data Pregão],"&lt;="&amp;EOMONTH(TabelaIR[[#This Row],[Mês]],0))</f>
        <v>0</v>
      </c>
      <c r="H25" s="2">
        <f>SUMIFS(TabelaMovimentacoes[Valor],TabelaMovimentacoes[Tipo],"Resultado Opção",TabelaMovimentacoes[Data Pregão],"&gt;="&amp;TabelaIR[[#This Row],[Mês]],TabelaMovimentacoes[Data Pregão],"&lt;="&amp;EOMONTH(TabelaIR[[#This Row],[Mês]],0))</f>
        <v>0</v>
      </c>
      <c r="I25" s="2" cm="1">
        <f t="array" ref="I25">IF(TabelaIR[[#This Row],[Alienações]]&lt;20000,IF(TabelaIR[[#This Row],[Resultado Ação]]&gt;0,TabelaIR[[#This Row],[Resultado Ação]],0),0)
+
MAX(SUM(SUMIFS(TabelaMovimentacoes[Valor],TabelaMovimentacoes[Tipo],"Resultado Ação",TabelaMovimentacoes[Data Pregão],"&gt;="&amp;TabelaIR[[#This Row],[Mês]],TabelaMovimentacoes[Data Pregão],"&lt;="&amp;EOMONTH(TabelaIR[[#This Row],[Mês]],0),TabelaMovimentacoes[Descrição],AcoesIsentas[Ação],TabelaMovimentacoes[Data Pregão],"&lt;=31/12/2023")),0)</f>
        <v>0</v>
      </c>
      <c r="J25" s="2">
        <f>SUM(TabelaIR[[#This Row],[Resultado Ação]:[Resultado Opção]])-TabelaIR[[#This Row],[Lucro Isento]]</f>
        <v>0</v>
      </c>
      <c r="K25" s="2">
        <f t="shared" si="2"/>
        <v>-7.5</v>
      </c>
      <c r="L25" s="2">
        <f>IF(TabelaIR[[#This Row],[Resultado Total]]+TabelaIR[[#This Row],[Prejuízo a Compensar]]&gt;0,TabelaIR[[#This Row],[Resultado Total]]+TabelaIR[[#This Row],[Prejuízo a Compensar]],0)</f>
        <v>0</v>
      </c>
      <c r="M25" s="24">
        <f>ROUNDDOWN(TabelaIR[[#This Row],[Base de Cálculo]]*15%,2)</f>
        <v>0</v>
      </c>
      <c r="N25" s="2" cm="1">
        <f t="array" ref="N25">SUM(SUMIFS(TabelaMovimentacoes[Valor],TabelaMovimentacoes[Tipo],{"I.R.R.F. Ação";"I.R.R.F. ETF";"I.R.R.F. BDR";"I.R.R.F. Futuro";"I.R.R.F. Termo";"I.R.R.F. Opção"},TabelaMovimentacoes[Data Liquidação],"&gt;="&amp;TabelaIR[[#This Row],[Mês]],TabelaMovimentacoes[Data Liquidação],"&lt;="&amp;EOMONTH(TabelaIR[[#This Row],[Mês]],0)))</f>
        <v>0</v>
      </c>
      <c r="O25" s="2">
        <f>IF(
TabelaIR[[#This Row],[Imposto Devido]]&lt;=0,0,
IF(TabelaIR[[#This Row],[Imposto Devido]]&lt;
ABS(SUMIFS(TabelaIR[I.R.R.F.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Row],[Mês]])),-TabelaIR[[#This Row],[Imposto Devido]],
SUMIFS(TabelaIR[I.R.R.F. no mês],TabelaIR[Mês],"&gt;="&amp;DATE(YEAR(TabelaIR[[#This Row],[Mês]]),1,1),TabelaIR[Mês],"&lt;="&amp;EOMONTH(TabelaIR[[#This Row],[Mês]],0))
-
SUMIFS(TabelaIR[I.R.R.F Compensado],TabelaIR[Mês],"&gt;="&amp;DATE(YEAR(TabelaIR[[#This Row],[Mês]]),1,1),TabelaIR[Mês],"&lt;"&amp;TabelaIR[[#This Row],[Mês]])
)
)</f>
        <v>0</v>
      </c>
      <c r="P25" s="2">
        <f>IF(TabelaIR[[#This Row],[Imposto Devido]]+TabelaIR[[#This Row],[I.R.R.F Compensado]]&lt;0,0,TabelaIR[[#This Row],[Imposto Devido]]+TabelaIR[[#This Row],[I.R.R.F Compensado]])</f>
        <v>0</v>
      </c>
      <c r="Q25" s="24"/>
    </row>
  </sheetData>
  <hyperlinks>
    <hyperlink ref="B1" r:id="rId1" xr:uid="{63D8765C-65DE-4C8D-BC40-8F94482FD30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43155-F7CC-4B12-B289-6079D4609386}">
  <sheetPr codeName="Planilha8"/>
  <dimension ref="A1:O2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1" sqref="O1"/>
    </sheetView>
  </sheetViews>
  <sheetFormatPr defaultRowHeight="15" x14ac:dyDescent="0.25"/>
  <cols>
    <col min="1" max="1" width="7.28515625" style="37" bestFit="1" customWidth="1"/>
    <col min="2" max="2" width="16.140625" style="2" bestFit="1" customWidth="1"/>
    <col min="3" max="3" width="14.85546875" style="2" bestFit="1" customWidth="1"/>
    <col min="4" max="4" width="15.42578125" style="2" bestFit="1" customWidth="1"/>
    <col min="5" max="5" width="17.85546875" style="2" bestFit="1" customWidth="1"/>
    <col min="6" max="6" width="17.7109375" style="2" bestFit="1" customWidth="1"/>
    <col min="7" max="7" width="17.5703125" style="2" bestFit="1" customWidth="1"/>
    <col min="8" max="8" width="16.28515625" style="2" bestFit="1" customWidth="1"/>
    <col min="9" max="9" width="22" style="2" bestFit="1" customWidth="1"/>
    <col min="10" max="10" width="16.28515625" style="2" bestFit="1" customWidth="1"/>
    <col min="11" max="11" width="16.5703125" style="2" bestFit="1" customWidth="1"/>
    <col min="12" max="12" width="15.5703125" style="2" bestFit="1" customWidth="1"/>
    <col min="13" max="13" width="20.28515625" style="2" bestFit="1" customWidth="1"/>
    <col min="14" max="14" width="16.5703125" style="2" customWidth="1"/>
    <col min="15" max="15" width="14.5703125" bestFit="1" customWidth="1"/>
  </cols>
  <sheetData>
    <row r="1" spans="1:15" x14ac:dyDescent="0.25">
      <c r="A1" s="36" t="s">
        <v>76</v>
      </c>
      <c r="B1" s="35" t="s">
        <v>44</v>
      </c>
      <c r="C1" s="35" t="s">
        <v>86</v>
      </c>
      <c r="D1" s="35" t="s">
        <v>73</v>
      </c>
      <c r="E1" s="35" t="s">
        <v>90</v>
      </c>
      <c r="F1" s="35" t="s">
        <v>88</v>
      </c>
      <c r="G1" s="35" t="s">
        <v>89</v>
      </c>
      <c r="H1" s="35" t="s">
        <v>87</v>
      </c>
      <c r="I1" s="35" t="s">
        <v>79</v>
      </c>
      <c r="J1" s="34" t="s">
        <v>80</v>
      </c>
      <c r="K1" s="34" t="s">
        <v>81</v>
      </c>
      <c r="L1" s="35" t="s">
        <v>82</v>
      </c>
      <c r="M1" s="34" t="s">
        <v>95</v>
      </c>
      <c r="N1" s="34" t="s">
        <v>83</v>
      </c>
      <c r="O1" s="90" t="s">
        <v>1889</v>
      </c>
    </row>
    <row r="2" spans="1:15" x14ac:dyDescent="0.25">
      <c r="A2" s="37">
        <v>43831</v>
      </c>
      <c r="B2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" s="2">
        <f>SUM(TabelaIRDT[[#This Row],[Resultado Ação]:[Resultado Opção]])</f>
        <v>0</v>
      </c>
      <c r="I2" s="2">
        <f t="shared" ref="I2:I25" si="0">IF(ROW()=2,0,IF(I1+H1&gt;=0,0,I1+H1))</f>
        <v>0</v>
      </c>
      <c r="J2" s="2">
        <f>IF(TabelaIRDT[[#This Row],[Resultado Total]]+TabelaIRDT[[#This Row],[Prejuízo a Compensar]]&gt;0,TabelaIRDT[[#This Row],[Resultado Total]]+TabelaIRDT[[#This Row],[Prejuízo a Compensar]],0)</f>
        <v>0</v>
      </c>
      <c r="K2" s="24">
        <f>ROUNDDOWN(TabelaIRDT[[#This Row],[Base de Cálculo]]*20%,2)</f>
        <v>0</v>
      </c>
      <c r="L2" s="2" cm="1">
        <f t="array" ref="L2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" s="2">
        <f>IF(TabelaIRDT[[#This Row],[Imposto Devido]]+TabelaIRDT[[#This Row],[I.R.R.F Compensado]]&lt;0,0,TabelaIRDT[[#This Row],[Imposto Devido]]+TabelaIRDT[[#This Row],[I.R.R.F Compensado]])</f>
        <v>0</v>
      </c>
      <c r="O2" s="24"/>
    </row>
    <row r="3" spans="1:15" x14ac:dyDescent="0.25">
      <c r="A3" s="37">
        <f>EDATE(A2,1)</f>
        <v>43862</v>
      </c>
      <c r="B3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3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3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3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3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3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3" s="2">
        <f>SUM(TabelaIRDT[[#This Row],[Resultado Ação]:[Resultado Opção]])</f>
        <v>0</v>
      </c>
      <c r="I3" s="2">
        <f t="shared" si="0"/>
        <v>0</v>
      </c>
      <c r="J3" s="2">
        <f>IF(TabelaIRDT[[#This Row],[Resultado Total]]+TabelaIRDT[[#This Row],[Prejuízo a Compensar]]&gt;0,TabelaIRDT[[#This Row],[Resultado Total]]+TabelaIRDT[[#This Row],[Prejuízo a Compensar]],0)</f>
        <v>0</v>
      </c>
      <c r="K3" s="24">
        <f>ROUNDDOWN(TabelaIRDT[[#This Row],[Base de Cálculo]]*20%,2)</f>
        <v>0</v>
      </c>
      <c r="L3" s="2" cm="1">
        <f t="array" ref="L3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3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3" s="2">
        <f>IF(TabelaIRDT[[#This Row],[Imposto Devido]]+TabelaIRDT[[#This Row],[I.R.R.F Compensado]]&lt;0,0,TabelaIRDT[[#This Row],[Imposto Devido]]+TabelaIRDT[[#This Row],[I.R.R.F Compensado]])</f>
        <v>0</v>
      </c>
      <c r="O3" s="24"/>
    </row>
    <row r="4" spans="1:15" x14ac:dyDescent="0.25">
      <c r="A4" s="37">
        <f t="shared" ref="A4:A25" si="1">EDATE(A3,1)</f>
        <v>43891</v>
      </c>
      <c r="B4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4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4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4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4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4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4" s="2">
        <f>SUM(TabelaIRDT[[#This Row],[Resultado Ação]:[Resultado Opção]])</f>
        <v>0</v>
      </c>
      <c r="I4" s="2">
        <f t="shared" si="0"/>
        <v>0</v>
      </c>
      <c r="J4" s="2">
        <f>IF(TabelaIRDT[[#This Row],[Resultado Total]]+TabelaIRDT[[#This Row],[Prejuízo a Compensar]]&gt;0,TabelaIRDT[[#This Row],[Resultado Total]]+TabelaIRDT[[#This Row],[Prejuízo a Compensar]],0)</f>
        <v>0</v>
      </c>
      <c r="K4" s="24">
        <f>ROUNDDOWN(TabelaIRDT[[#This Row],[Base de Cálculo]]*20%,2)</f>
        <v>0</v>
      </c>
      <c r="L4" s="2" cm="1">
        <f t="array" ref="L4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4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4" s="2">
        <f>IF(TabelaIRDT[[#This Row],[Imposto Devido]]+TabelaIRDT[[#This Row],[I.R.R.F Compensado]]&lt;0,0,TabelaIRDT[[#This Row],[Imposto Devido]]+TabelaIRDT[[#This Row],[I.R.R.F Compensado]])</f>
        <v>0</v>
      </c>
      <c r="O4" s="24"/>
    </row>
    <row r="5" spans="1:15" x14ac:dyDescent="0.25">
      <c r="A5" s="37">
        <f t="shared" si="1"/>
        <v>43922</v>
      </c>
      <c r="B5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5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5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5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5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5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5" s="2">
        <f>SUM(TabelaIRDT[[#This Row],[Resultado Ação]:[Resultado Opção]])</f>
        <v>0</v>
      </c>
      <c r="I5" s="2">
        <f t="shared" si="0"/>
        <v>0</v>
      </c>
      <c r="J5" s="2">
        <f>IF(TabelaIRDT[[#This Row],[Resultado Total]]+TabelaIRDT[[#This Row],[Prejuízo a Compensar]]&gt;0,TabelaIRDT[[#This Row],[Resultado Total]]+TabelaIRDT[[#This Row],[Prejuízo a Compensar]],0)</f>
        <v>0</v>
      </c>
      <c r="K5" s="24">
        <f>ROUNDDOWN(TabelaIRDT[[#This Row],[Base de Cálculo]]*20%,2)</f>
        <v>0</v>
      </c>
      <c r="L5" s="2" cm="1">
        <f t="array" ref="L5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5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5" s="2">
        <f>IF(TabelaIRDT[[#This Row],[Imposto Devido]]+TabelaIRDT[[#This Row],[I.R.R.F Compensado]]&lt;0,0,TabelaIRDT[[#This Row],[Imposto Devido]]+TabelaIRDT[[#This Row],[I.R.R.F Compensado]])</f>
        <v>0</v>
      </c>
      <c r="O5" s="24"/>
    </row>
    <row r="6" spans="1:15" x14ac:dyDescent="0.25">
      <c r="A6" s="37">
        <f t="shared" si="1"/>
        <v>43952</v>
      </c>
      <c r="B6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6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6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6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6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6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6" s="2">
        <f>SUM(TabelaIRDT[[#This Row],[Resultado Ação]:[Resultado Opção]])</f>
        <v>0</v>
      </c>
      <c r="I6" s="2">
        <f t="shared" si="0"/>
        <v>0</v>
      </c>
      <c r="J6" s="2">
        <f>IF(TabelaIRDT[[#This Row],[Resultado Total]]+TabelaIRDT[[#This Row],[Prejuízo a Compensar]]&gt;0,TabelaIRDT[[#This Row],[Resultado Total]]+TabelaIRDT[[#This Row],[Prejuízo a Compensar]],0)</f>
        <v>0</v>
      </c>
      <c r="K6" s="24">
        <f>ROUNDDOWN(TabelaIRDT[[#This Row],[Base de Cálculo]]*20%,2)</f>
        <v>0</v>
      </c>
      <c r="L6" s="2" cm="1">
        <f t="array" ref="L6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6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6" s="2">
        <f>IF(TabelaIRDT[[#This Row],[Imposto Devido]]+TabelaIRDT[[#This Row],[I.R.R.F Compensado]]&lt;0,0,TabelaIRDT[[#This Row],[Imposto Devido]]+TabelaIRDT[[#This Row],[I.R.R.F Compensado]])</f>
        <v>0</v>
      </c>
      <c r="O6" s="24"/>
    </row>
    <row r="7" spans="1:15" x14ac:dyDescent="0.25">
      <c r="A7" s="37">
        <f t="shared" si="1"/>
        <v>43983</v>
      </c>
      <c r="B7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7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7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7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7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7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7" s="2">
        <f>SUM(TabelaIRDT[[#This Row],[Resultado Ação]:[Resultado Opção]])</f>
        <v>0</v>
      </c>
      <c r="I7" s="2">
        <f t="shared" si="0"/>
        <v>0</v>
      </c>
      <c r="J7" s="2">
        <f>IF(TabelaIRDT[[#This Row],[Resultado Total]]+TabelaIRDT[[#This Row],[Prejuízo a Compensar]]&gt;0,TabelaIRDT[[#This Row],[Resultado Total]]+TabelaIRDT[[#This Row],[Prejuízo a Compensar]],0)</f>
        <v>0</v>
      </c>
      <c r="K7" s="24">
        <f>ROUNDDOWN(TabelaIRDT[[#This Row],[Base de Cálculo]]*20%,2)</f>
        <v>0</v>
      </c>
      <c r="L7" s="2" cm="1">
        <f t="array" ref="L7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7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7" s="2">
        <f>IF(TabelaIRDT[[#This Row],[Imposto Devido]]+TabelaIRDT[[#This Row],[I.R.R.F Compensado]]&lt;0,0,TabelaIRDT[[#This Row],[Imposto Devido]]+TabelaIRDT[[#This Row],[I.R.R.F Compensado]])</f>
        <v>0</v>
      </c>
      <c r="O7" s="24"/>
    </row>
    <row r="8" spans="1:15" x14ac:dyDescent="0.25">
      <c r="A8" s="37">
        <f t="shared" si="1"/>
        <v>44013</v>
      </c>
      <c r="B8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8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8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8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8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8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8" s="2">
        <f>SUM(TabelaIRDT[[#This Row],[Resultado Ação]:[Resultado Opção]])</f>
        <v>0</v>
      </c>
      <c r="I8" s="2">
        <f t="shared" si="0"/>
        <v>0</v>
      </c>
      <c r="J8" s="2">
        <f>IF(TabelaIRDT[[#This Row],[Resultado Total]]+TabelaIRDT[[#This Row],[Prejuízo a Compensar]]&gt;0,TabelaIRDT[[#This Row],[Resultado Total]]+TabelaIRDT[[#This Row],[Prejuízo a Compensar]],0)</f>
        <v>0</v>
      </c>
      <c r="K8" s="24">
        <f>ROUNDDOWN(TabelaIRDT[[#This Row],[Base de Cálculo]]*20%,2)</f>
        <v>0</v>
      </c>
      <c r="L8" s="2" cm="1">
        <f t="array" ref="L8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8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8" s="2">
        <f>IF(TabelaIRDT[[#This Row],[Imposto Devido]]+TabelaIRDT[[#This Row],[I.R.R.F Compensado]]&lt;0,0,TabelaIRDT[[#This Row],[Imposto Devido]]+TabelaIRDT[[#This Row],[I.R.R.F Compensado]])</f>
        <v>0</v>
      </c>
      <c r="O8" s="24"/>
    </row>
    <row r="9" spans="1:15" x14ac:dyDescent="0.25">
      <c r="A9" s="37">
        <f t="shared" si="1"/>
        <v>44044</v>
      </c>
      <c r="B9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9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9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9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9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9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9" s="2">
        <f>SUM(TabelaIRDT[[#This Row],[Resultado Ação]:[Resultado Opção]])</f>
        <v>0</v>
      </c>
      <c r="I9" s="2">
        <f t="shared" si="0"/>
        <v>0</v>
      </c>
      <c r="J9" s="2">
        <f>IF(TabelaIRDT[[#This Row],[Resultado Total]]+TabelaIRDT[[#This Row],[Prejuízo a Compensar]]&gt;0,TabelaIRDT[[#This Row],[Resultado Total]]+TabelaIRDT[[#This Row],[Prejuízo a Compensar]],0)</f>
        <v>0</v>
      </c>
      <c r="K9" s="24">
        <f>ROUNDDOWN(TabelaIRDT[[#This Row],[Base de Cálculo]]*20%,2)</f>
        <v>0</v>
      </c>
      <c r="L9" s="2" cm="1">
        <f t="array" ref="L9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9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9" s="2">
        <f>IF(TabelaIRDT[[#This Row],[Imposto Devido]]+TabelaIRDT[[#This Row],[I.R.R.F Compensado]]&lt;0,0,TabelaIRDT[[#This Row],[Imposto Devido]]+TabelaIRDT[[#This Row],[I.R.R.F Compensado]])</f>
        <v>0</v>
      </c>
      <c r="O9" s="24"/>
    </row>
    <row r="10" spans="1:15" x14ac:dyDescent="0.25">
      <c r="A10" s="37">
        <f t="shared" si="1"/>
        <v>44075</v>
      </c>
      <c r="B10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0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0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0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0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0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0" s="2">
        <f>SUM(TabelaIRDT[[#This Row],[Resultado Ação]:[Resultado Opção]])</f>
        <v>0</v>
      </c>
      <c r="I10" s="2">
        <f t="shared" si="0"/>
        <v>0</v>
      </c>
      <c r="J10" s="2">
        <f>IF(TabelaIRDT[[#This Row],[Resultado Total]]+TabelaIRDT[[#This Row],[Prejuízo a Compensar]]&gt;0,TabelaIRDT[[#This Row],[Resultado Total]]+TabelaIRDT[[#This Row],[Prejuízo a Compensar]],0)</f>
        <v>0</v>
      </c>
      <c r="K10" s="24">
        <f>ROUNDDOWN(TabelaIRDT[[#This Row],[Base de Cálculo]]*20%,2)</f>
        <v>0</v>
      </c>
      <c r="L10" s="2" cm="1">
        <f t="array" ref="L10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0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0" s="2">
        <f>IF(TabelaIRDT[[#This Row],[Imposto Devido]]+TabelaIRDT[[#This Row],[I.R.R.F Compensado]]&lt;0,0,TabelaIRDT[[#This Row],[Imposto Devido]]+TabelaIRDT[[#This Row],[I.R.R.F Compensado]])</f>
        <v>0</v>
      </c>
      <c r="O10" s="24"/>
    </row>
    <row r="11" spans="1:15" x14ac:dyDescent="0.25">
      <c r="A11" s="37">
        <f t="shared" si="1"/>
        <v>44105</v>
      </c>
      <c r="B11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1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1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1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1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1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1" s="2">
        <f>SUM(TabelaIRDT[[#This Row],[Resultado Ação]:[Resultado Opção]])</f>
        <v>0</v>
      </c>
      <c r="I11" s="2">
        <f t="shared" si="0"/>
        <v>0</v>
      </c>
      <c r="J11" s="2">
        <f>IF(TabelaIRDT[[#This Row],[Resultado Total]]+TabelaIRDT[[#This Row],[Prejuízo a Compensar]]&gt;0,TabelaIRDT[[#This Row],[Resultado Total]]+TabelaIRDT[[#This Row],[Prejuízo a Compensar]],0)</f>
        <v>0</v>
      </c>
      <c r="K11" s="24">
        <f>ROUNDDOWN(TabelaIRDT[[#This Row],[Base de Cálculo]]*20%,2)</f>
        <v>0</v>
      </c>
      <c r="L11" s="2" cm="1">
        <f t="array" ref="L11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1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1" s="2">
        <f>IF(TabelaIRDT[[#This Row],[Imposto Devido]]+TabelaIRDT[[#This Row],[I.R.R.F Compensado]]&lt;0,0,TabelaIRDT[[#This Row],[Imposto Devido]]+TabelaIRDT[[#This Row],[I.R.R.F Compensado]])</f>
        <v>0</v>
      </c>
      <c r="O11" s="24"/>
    </row>
    <row r="12" spans="1:15" x14ac:dyDescent="0.25">
      <c r="A12" s="37">
        <f t="shared" si="1"/>
        <v>44136</v>
      </c>
      <c r="B12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2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2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2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2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2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2" s="2">
        <f>SUM(TabelaIRDT[[#This Row],[Resultado Ação]:[Resultado Opção]])</f>
        <v>0</v>
      </c>
      <c r="I12" s="2">
        <f t="shared" si="0"/>
        <v>0</v>
      </c>
      <c r="J12" s="2">
        <f>IF(TabelaIRDT[[#This Row],[Resultado Total]]+TabelaIRDT[[#This Row],[Prejuízo a Compensar]]&gt;0,TabelaIRDT[[#This Row],[Resultado Total]]+TabelaIRDT[[#This Row],[Prejuízo a Compensar]],0)</f>
        <v>0</v>
      </c>
      <c r="K12" s="24">
        <f>ROUNDDOWN(TabelaIRDT[[#This Row],[Base de Cálculo]]*20%,2)</f>
        <v>0</v>
      </c>
      <c r="L12" s="2" cm="1">
        <f t="array" ref="L12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2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2" s="2">
        <f>IF(TabelaIRDT[[#This Row],[Imposto Devido]]+TabelaIRDT[[#This Row],[I.R.R.F Compensado]]&lt;0,0,TabelaIRDT[[#This Row],[Imposto Devido]]+TabelaIRDT[[#This Row],[I.R.R.F Compensado]])</f>
        <v>0</v>
      </c>
      <c r="O12" s="24"/>
    </row>
    <row r="13" spans="1:15" x14ac:dyDescent="0.25">
      <c r="A13" s="37">
        <f t="shared" si="1"/>
        <v>44166</v>
      </c>
      <c r="B13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3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3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3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3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3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3" s="2">
        <f>SUM(TabelaIRDT[[#This Row],[Resultado Ação]:[Resultado Opção]])</f>
        <v>0</v>
      </c>
      <c r="I13" s="2">
        <f t="shared" si="0"/>
        <v>0</v>
      </c>
      <c r="J13" s="2">
        <f>IF(TabelaIRDT[[#This Row],[Resultado Total]]+TabelaIRDT[[#This Row],[Prejuízo a Compensar]]&gt;0,TabelaIRDT[[#This Row],[Resultado Total]]+TabelaIRDT[[#This Row],[Prejuízo a Compensar]],0)</f>
        <v>0</v>
      </c>
      <c r="K13" s="24">
        <f>ROUNDDOWN(TabelaIRDT[[#This Row],[Base de Cálculo]]*20%,2)</f>
        <v>0</v>
      </c>
      <c r="L13" s="2" cm="1">
        <f t="array" ref="L13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3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3" s="2">
        <f>IF(TabelaIRDT[[#This Row],[Imposto Devido]]+TabelaIRDT[[#This Row],[I.R.R.F Compensado]]&lt;0,0,TabelaIRDT[[#This Row],[Imposto Devido]]+TabelaIRDT[[#This Row],[I.R.R.F Compensado]])</f>
        <v>0</v>
      </c>
      <c r="O13" s="24"/>
    </row>
    <row r="14" spans="1:15" x14ac:dyDescent="0.25">
      <c r="A14" s="37">
        <f t="shared" si="1"/>
        <v>44197</v>
      </c>
      <c r="B14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4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4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4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4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4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4" s="2">
        <f>SUM(TabelaIRDT[[#This Row],[Resultado Ação]:[Resultado Opção]])</f>
        <v>0</v>
      </c>
      <c r="I14" s="2">
        <f t="shared" si="0"/>
        <v>0</v>
      </c>
      <c r="J14" s="2">
        <f>IF(TabelaIRDT[[#This Row],[Resultado Total]]+TabelaIRDT[[#This Row],[Prejuízo a Compensar]]&gt;0,TabelaIRDT[[#This Row],[Resultado Total]]+TabelaIRDT[[#This Row],[Prejuízo a Compensar]],0)</f>
        <v>0</v>
      </c>
      <c r="K14" s="24">
        <f>ROUNDDOWN(TabelaIRDT[[#This Row],[Base de Cálculo]]*20%,2)</f>
        <v>0</v>
      </c>
      <c r="L14" s="2" cm="1">
        <f t="array" ref="L14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4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4" s="2">
        <f>IF(TabelaIRDT[[#This Row],[Imposto Devido]]+TabelaIRDT[[#This Row],[I.R.R.F Compensado]]&lt;0,0,TabelaIRDT[[#This Row],[Imposto Devido]]+TabelaIRDT[[#This Row],[I.R.R.F Compensado]])</f>
        <v>0</v>
      </c>
      <c r="O14" s="24"/>
    </row>
    <row r="15" spans="1:15" x14ac:dyDescent="0.25">
      <c r="A15" s="37">
        <f t="shared" si="1"/>
        <v>44228</v>
      </c>
      <c r="B15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5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5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5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5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5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5" s="2">
        <f>SUM(TabelaIRDT[[#This Row],[Resultado Ação]:[Resultado Opção]])</f>
        <v>0</v>
      </c>
      <c r="I15" s="2">
        <f t="shared" si="0"/>
        <v>0</v>
      </c>
      <c r="J15" s="2">
        <f>IF(TabelaIRDT[[#This Row],[Resultado Total]]+TabelaIRDT[[#This Row],[Prejuízo a Compensar]]&gt;0,TabelaIRDT[[#This Row],[Resultado Total]]+TabelaIRDT[[#This Row],[Prejuízo a Compensar]],0)</f>
        <v>0</v>
      </c>
      <c r="K15" s="24">
        <f>ROUNDDOWN(TabelaIRDT[[#This Row],[Base de Cálculo]]*20%,2)</f>
        <v>0</v>
      </c>
      <c r="L15" s="2" cm="1">
        <f t="array" ref="L15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5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5" s="2">
        <f>IF(TabelaIRDT[[#This Row],[Imposto Devido]]+TabelaIRDT[[#This Row],[I.R.R.F Compensado]]&lt;0,0,TabelaIRDT[[#This Row],[Imposto Devido]]+TabelaIRDT[[#This Row],[I.R.R.F Compensado]])</f>
        <v>0</v>
      </c>
      <c r="O15" s="24"/>
    </row>
    <row r="16" spans="1:15" x14ac:dyDescent="0.25">
      <c r="A16" s="37">
        <f t="shared" si="1"/>
        <v>44256</v>
      </c>
      <c r="B16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45.52</v>
      </c>
      <c r="C16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6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6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6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6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6" s="2">
        <f>SUM(TabelaIRDT[[#This Row],[Resultado Ação]:[Resultado Opção]])</f>
        <v>45.52</v>
      </c>
      <c r="I16" s="2">
        <f t="shared" si="0"/>
        <v>0</v>
      </c>
      <c r="J16" s="2">
        <f>IF(TabelaIRDT[[#This Row],[Resultado Total]]+TabelaIRDT[[#This Row],[Prejuízo a Compensar]]&gt;0,TabelaIRDT[[#This Row],[Resultado Total]]+TabelaIRDT[[#This Row],[Prejuízo a Compensar]],0)</f>
        <v>45.52</v>
      </c>
      <c r="K16" s="24">
        <f>ROUNDDOWN(TabelaIRDT[[#This Row],[Base de Cálculo]]*20%,2)</f>
        <v>9.1</v>
      </c>
      <c r="L16" s="2" cm="1">
        <f t="array" ref="L16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-0.46</v>
      </c>
      <c r="M16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-0.46</v>
      </c>
      <c r="N16" s="2">
        <f>IF(TabelaIRDT[[#This Row],[Imposto Devido]]+TabelaIRDT[[#This Row],[I.R.R.F Compensado]]&lt;0,0,TabelaIRDT[[#This Row],[Imposto Devido]]+TabelaIRDT[[#This Row],[I.R.R.F Compensado]])</f>
        <v>8.6399999999999988</v>
      </c>
      <c r="O16" s="24"/>
    </row>
    <row r="17" spans="1:15" x14ac:dyDescent="0.25">
      <c r="A17" s="37">
        <f t="shared" si="1"/>
        <v>44287</v>
      </c>
      <c r="B17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-178.78</v>
      </c>
      <c r="C17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7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7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7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7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7" s="2">
        <f>SUM(TabelaIRDT[[#This Row],[Resultado Ação]:[Resultado Opção]])</f>
        <v>-178.78</v>
      </c>
      <c r="I17" s="2">
        <f t="shared" si="0"/>
        <v>0</v>
      </c>
      <c r="J17" s="2">
        <f>IF(TabelaIRDT[[#This Row],[Resultado Total]]+TabelaIRDT[[#This Row],[Prejuízo a Compensar]]&gt;0,TabelaIRDT[[#This Row],[Resultado Total]]+TabelaIRDT[[#This Row],[Prejuízo a Compensar]],0)</f>
        <v>0</v>
      </c>
      <c r="K17" s="24">
        <f>ROUNDDOWN(TabelaIRDT[[#This Row],[Base de Cálculo]]*20%,2)</f>
        <v>0</v>
      </c>
      <c r="L17" s="2" cm="1">
        <f t="array" ref="L17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-0.96</v>
      </c>
      <c r="M17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7" s="2">
        <f>IF(TabelaIRDT[[#This Row],[Imposto Devido]]+TabelaIRDT[[#This Row],[I.R.R.F Compensado]]&lt;0,0,TabelaIRDT[[#This Row],[Imposto Devido]]+TabelaIRDT[[#This Row],[I.R.R.F Compensado]])</f>
        <v>0</v>
      </c>
      <c r="O17" s="24"/>
    </row>
    <row r="18" spans="1:15" x14ac:dyDescent="0.25">
      <c r="A18" s="37">
        <f t="shared" si="1"/>
        <v>44317</v>
      </c>
      <c r="B18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8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8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8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8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8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8" s="2">
        <f>SUM(TabelaIRDT[[#This Row],[Resultado Ação]:[Resultado Opção]])</f>
        <v>0</v>
      </c>
      <c r="I18" s="2">
        <f t="shared" si="0"/>
        <v>-178.78</v>
      </c>
      <c r="J18" s="2">
        <f>IF(TabelaIRDT[[#This Row],[Resultado Total]]+TabelaIRDT[[#This Row],[Prejuízo a Compensar]]&gt;0,TabelaIRDT[[#This Row],[Resultado Total]]+TabelaIRDT[[#This Row],[Prejuízo a Compensar]],0)</f>
        <v>0</v>
      </c>
      <c r="K18" s="24">
        <f>ROUNDDOWN(TabelaIRDT[[#This Row],[Base de Cálculo]]*20%,2)</f>
        <v>0</v>
      </c>
      <c r="L18" s="2" cm="1">
        <f t="array" ref="L18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8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8" s="2">
        <f>IF(TabelaIRDT[[#This Row],[Imposto Devido]]+TabelaIRDT[[#This Row],[I.R.R.F Compensado]]&lt;0,0,TabelaIRDT[[#This Row],[Imposto Devido]]+TabelaIRDT[[#This Row],[I.R.R.F Compensado]])</f>
        <v>0</v>
      </c>
      <c r="O18" s="24"/>
    </row>
    <row r="19" spans="1:15" x14ac:dyDescent="0.25">
      <c r="A19" s="37">
        <f t="shared" si="1"/>
        <v>44348</v>
      </c>
      <c r="B19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19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19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19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19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19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19" s="2">
        <f>SUM(TabelaIRDT[[#This Row],[Resultado Ação]:[Resultado Opção]])</f>
        <v>0</v>
      </c>
      <c r="I19" s="2">
        <f t="shared" si="0"/>
        <v>-178.78</v>
      </c>
      <c r="J19" s="2">
        <f>IF(TabelaIRDT[[#This Row],[Resultado Total]]+TabelaIRDT[[#This Row],[Prejuízo a Compensar]]&gt;0,TabelaIRDT[[#This Row],[Resultado Total]]+TabelaIRDT[[#This Row],[Prejuízo a Compensar]],0)</f>
        <v>0</v>
      </c>
      <c r="K19" s="24">
        <f>ROUNDDOWN(TabelaIRDT[[#This Row],[Base de Cálculo]]*20%,2)</f>
        <v>0</v>
      </c>
      <c r="L19" s="2" cm="1">
        <f t="array" ref="L19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19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19" s="2">
        <f>IF(TabelaIRDT[[#This Row],[Imposto Devido]]+TabelaIRDT[[#This Row],[I.R.R.F Compensado]]&lt;0,0,TabelaIRDT[[#This Row],[Imposto Devido]]+TabelaIRDT[[#This Row],[I.R.R.F Compensado]])</f>
        <v>0</v>
      </c>
      <c r="O19" s="24"/>
    </row>
    <row r="20" spans="1:15" x14ac:dyDescent="0.25">
      <c r="A20" s="37">
        <f t="shared" si="1"/>
        <v>44378</v>
      </c>
      <c r="B20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63.14</v>
      </c>
      <c r="C20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0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0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0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0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0" s="2">
        <f>SUM(TabelaIRDT[[#This Row],[Resultado Ação]:[Resultado Opção]])</f>
        <v>63.14</v>
      </c>
      <c r="I20" s="2">
        <f t="shared" si="0"/>
        <v>-178.78</v>
      </c>
      <c r="J20" s="2">
        <f>IF(TabelaIRDT[[#This Row],[Resultado Total]]+TabelaIRDT[[#This Row],[Prejuízo a Compensar]]&gt;0,TabelaIRDT[[#This Row],[Resultado Total]]+TabelaIRDT[[#This Row],[Prejuízo a Compensar]],0)</f>
        <v>0</v>
      </c>
      <c r="K20" s="24">
        <f>ROUNDDOWN(TabelaIRDT[[#This Row],[Base de Cálculo]]*20%,2)</f>
        <v>0</v>
      </c>
      <c r="L20" s="2" cm="1">
        <f t="array" ref="L20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-0.54</v>
      </c>
      <c r="M20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0" s="2">
        <f>IF(TabelaIRDT[[#This Row],[Imposto Devido]]+TabelaIRDT[[#This Row],[I.R.R.F Compensado]]&lt;0,0,TabelaIRDT[[#This Row],[Imposto Devido]]+TabelaIRDT[[#This Row],[I.R.R.F Compensado]])</f>
        <v>0</v>
      </c>
      <c r="O20" s="24"/>
    </row>
    <row r="21" spans="1:15" x14ac:dyDescent="0.25">
      <c r="A21" s="37">
        <f t="shared" si="1"/>
        <v>44409</v>
      </c>
      <c r="B21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1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1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1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1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1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1" s="2">
        <f>SUM(TabelaIRDT[[#This Row],[Resultado Ação]:[Resultado Opção]])</f>
        <v>0</v>
      </c>
      <c r="I21" s="2">
        <f t="shared" si="0"/>
        <v>-115.64</v>
      </c>
      <c r="J21" s="2">
        <f>IF(TabelaIRDT[[#This Row],[Resultado Total]]+TabelaIRDT[[#This Row],[Prejuízo a Compensar]]&gt;0,TabelaIRDT[[#This Row],[Resultado Total]]+TabelaIRDT[[#This Row],[Prejuízo a Compensar]],0)</f>
        <v>0</v>
      </c>
      <c r="K21" s="24">
        <f>ROUNDDOWN(TabelaIRDT[[#This Row],[Base de Cálculo]]*20%,2)</f>
        <v>0</v>
      </c>
      <c r="L21" s="2" cm="1">
        <f t="array" ref="L21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1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1" s="2">
        <f>IF(TabelaIRDT[[#This Row],[Imposto Devido]]+TabelaIRDT[[#This Row],[I.R.R.F Compensado]]&lt;0,0,TabelaIRDT[[#This Row],[Imposto Devido]]+TabelaIRDT[[#This Row],[I.R.R.F Compensado]])</f>
        <v>0</v>
      </c>
      <c r="O21" s="24"/>
    </row>
    <row r="22" spans="1:15" x14ac:dyDescent="0.25">
      <c r="A22" s="37">
        <f t="shared" si="1"/>
        <v>44440</v>
      </c>
      <c r="B22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2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2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2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2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2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2" s="2">
        <f>SUM(TabelaIRDT[[#This Row],[Resultado Ação]:[Resultado Opção]])</f>
        <v>0</v>
      </c>
      <c r="I22" s="2">
        <f t="shared" si="0"/>
        <v>-115.64</v>
      </c>
      <c r="J22" s="2">
        <f>IF(TabelaIRDT[[#This Row],[Resultado Total]]+TabelaIRDT[[#This Row],[Prejuízo a Compensar]]&gt;0,TabelaIRDT[[#This Row],[Resultado Total]]+TabelaIRDT[[#This Row],[Prejuízo a Compensar]],0)</f>
        <v>0</v>
      </c>
      <c r="K22" s="24">
        <f>ROUNDDOWN(TabelaIRDT[[#This Row],[Base de Cálculo]]*20%,2)</f>
        <v>0</v>
      </c>
      <c r="L22" s="2" cm="1">
        <f t="array" ref="L22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2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2" s="2">
        <f>IF(TabelaIRDT[[#This Row],[Imposto Devido]]+TabelaIRDT[[#This Row],[I.R.R.F Compensado]]&lt;0,0,TabelaIRDT[[#This Row],[Imposto Devido]]+TabelaIRDT[[#This Row],[I.R.R.F Compensado]])</f>
        <v>0</v>
      </c>
      <c r="O22" s="24"/>
    </row>
    <row r="23" spans="1:15" x14ac:dyDescent="0.25">
      <c r="A23" s="37">
        <f t="shared" si="1"/>
        <v>44470</v>
      </c>
      <c r="B23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3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3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3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3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3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3" s="2">
        <f>SUM(TabelaIRDT[[#This Row],[Resultado Ação]:[Resultado Opção]])</f>
        <v>0</v>
      </c>
      <c r="I23" s="2">
        <f t="shared" si="0"/>
        <v>-115.64</v>
      </c>
      <c r="J23" s="2">
        <f>IF(TabelaIRDT[[#This Row],[Resultado Total]]+TabelaIRDT[[#This Row],[Prejuízo a Compensar]]&gt;0,TabelaIRDT[[#This Row],[Resultado Total]]+TabelaIRDT[[#This Row],[Prejuízo a Compensar]],0)</f>
        <v>0</v>
      </c>
      <c r="K23" s="24">
        <f>ROUNDDOWN(TabelaIRDT[[#This Row],[Base de Cálculo]]*20%,2)</f>
        <v>0</v>
      </c>
      <c r="L23" s="2" cm="1">
        <f t="array" ref="L23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3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3" s="2">
        <f>IF(TabelaIRDT[[#This Row],[Imposto Devido]]+TabelaIRDT[[#This Row],[I.R.R.F Compensado]]&lt;0,0,TabelaIRDT[[#This Row],[Imposto Devido]]+TabelaIRDT[[#This Row],[I.R.R.F Compensado]])</f>
        <v>0</v>
      </c>
      <c r="O23" s="24"/>
    </row>
    <row r="24" spans="1:15" x14ac:dyDescent="0.25">
      <c r="A24" s="37">
        <f t="shared" si="1"/>
        <v>44501</v>
      </c>
      <c r="B24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4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4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4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4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4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4" s="2">
        <f>SUM(TabelaIRDT[[#This Row],[Resultado Ação]:[Resultado Opção]])</f>
        <v>0</v>
      </c>
      <c r="I24" s="2">
        <f t="shared" si="0"/>
        <v>-115.64</v>
      </c>
      <c r="J24" s="2">
        <f>IF(TabelaIRDT[[#This Row],[Resultado Total]]+TabelaIRDT[[#This Row],[Prejuízo a Compensar]]&gt;0,TabelaIRDT[[#This Row],[Resultado Total]]+TabelaIRDT[[#This Row],[Prejuízo a Compensar]],0)</f>
        <v>0</v>
      </c>
      <c r="K24" s="24">
        <f>ROUNDDOWN(TabelaIRDT[[#This Row],[Base de Cálculo]]*20%,2)</f>
        <v>0</v>
      </c>
      <c r="L24" s="2" cm="1">
        <f t="array" ref="L24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4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4" s="2">
        <f>IF(TabelaIRDT[[#This Row],[Imposto Devido]]+TabelaIRDT[[#This Row],[I.R.R.F Compensado]]&lt;0,0,TabelaIRDT[[#This Row],[Imposto Devido]]+TabelaIRDT[[#This Row],[I.R.R.F Compensado]])</f>
        <v>0</v>
      </c>
      <c r="O24" s="24"/>
    </row>
    <row r="25" spans="1:15" x14ac:dyDescent="0.25">
      <c r="A25" s="37">
        <f t="shared" si="1"/>
        <v>44531</v>
      </c>
      <c r="B25" s="2">
        <f>SUMIFS(TabelaMovimentacoes[Valor],TabelaMovimentacoes[Tipo],"Resultado Ação Day Trade",TabelaMovimentacoes[Data Pregão],"&gt;="&amp;TabelaIRDT[[#This Row],[Mês]],TabelaMovimentacoes[Data Pregão],"&lt;="&amp;EOMONTH(TabelaIRDT[[#This Row],[Mês]],0))</f>
        <v>0</v>
      </c>
      <c r="C25" s="2">
        <f>SUMIFS(TabelaMovimentacoes[Valor],TabelaMovimentacoes[Tipo],"Resultado ETF Day Trade",TabelaMovimentacoes[Data Pregão],"&gt;="&amp;TabelaIRDT[[#This Row],[Mês]],TabelaMovimentacoes[Data Pregão],"&lt;="&amp;EOMONTH(TabelaIRDT[[#This Row],[Mês]],0))</f>
        <v>0</v>
      </c>
      <c r="D25" s="2">
        <f>SUMIFS(TabelaMovimentacoes[Valor],TabelaMovimentacoes[Tipo],"Resultado BDR Day Trade",TabelaMovimentacoes[Data Pregão],"&gt;="&amp;TabelaIRDT[[#This Row],[Mês]],TabelaMovimentacoes[Data Pregão],"&lt;="&amp;EOMONTH(TabelaIRDT[[#This Row],[Mês]],0))</f>
        <v>0</v>
      </c>
      <c r="E25" s="2">
        <f>SUMIFS(TabelaMovimentacoes[Valor],TabelaMovimentacoes[Tipo],"Resultado Futuro Day Trade",TabelaMovimentacoes[Data Pregão],"&gt;="&amp;TabelaIRDT[[#This Row],[Mês]],TabelaMovimentacoes[Data Pregão],"&lt;="&amp;EOMONTH(TabelaIRDT[[#This Row],[Mês]],0))</f>
        <v>0</v>
      </c>
      <c r="F25" s="2">
        <f>SUMIFS(TabelaMovimentacoes[Valor],TabelaMovimentacoes[Tipo],"Resultado Termo Day Trade",TabelaMovimentacoes[Data Pregão],"&gt;="&amp;TabelaIRDT[[#This Row],[Mês]],TabelaMovimentacoes[Data Pregão],"&lt;="&amp;EOMONTH(TabelaIRDT[[#This Row],[Mês]],0))</f>
        <v>0</v>
      </c>
      <c r="G25" s="2">
        <f>SUMIFS(TabelaMovimentacoes[Valor],TabelaMovimentacoes[Tipo],"Resultado Opção Day Trade",TabelaMovimentacoes[Data Pregão],"&gt;="&amp;TabelaIRDT[[#This Row],[Mês]],TabelaMovimentacoes[Data Pregão],"&lt;="&amp;EOMONTH(TabelaIRDT[[#This Row],[Mês]],0))</f>
        <v>0</v>
      </c>
      <c r="H25" s="2">
        <f>SUM(TabelaIRDT[[#This Row],[Resultado Ação]:[Resultado Opção]])</f>
        <v>0</v>
      </c>
      <c r="I25" s="2">
        <f t="shared" si="0"/>
        <v>-115.64</v>
      </c>
      <c r="J25" s="2">
        <f>IF(TabelaIRDT[[#This Row],[Resultado Total]]+TabelaIRDT[[#This Row],[Prejuízo a Compensar]]&gt;0,TabelaIRDT[[#This Row],[Resultado Total]]+TabelaIRDT[[#This Row],[Prejuízo a Compensar]],0)</f>
        <v>0</v>
      </c>
      <c r="K25" s="24">
        <f>ROUNDDOWN(TabelaIRDT[[#This Row],[Base de Cálculo]]*20%,2)</f>
        <v>0</v>
      </c>
      <c r="L25" s="2" cm="1">
        <f t="array" ref="L25">SUM(SUMIFS(TabelaMovimentacoes[Valor],TabelaMovimentacoes[Tipo],{"I.R.R.F. Ação Day Trade";"I.R.R.F. ETF Day Trade";"I.R.R.F. BDR Day Trade";"I.R.R.F. Futuro Day Trade";"I.R.R.F. Termo Day Trade";"I.R.R.F. Opção Day Trade"},TabelaMovimentacoes[Data Liquidação],"&gt;="&amp;TabelaIRDT[[#This Row],[Mês]],TabelaMovimentacoes[Data Liquidação],"&lt;="&amp;EOMONTH(TabelaIRDT[[#This Row],[Mês]],0)))</f>
        <v>0</v>
      </c>
      <c r="M25" s="2">
        <f>IF(
TabelaIRDT[[#This Row],[Imposto Devido]]&lt;=0,0,
IF(TabelaIRDT[[#This Row],[Imposto Devido]]&lt;
ABS(SUMIFS(TabelaIRDT[I.R.R.F.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Row],[Mês]])),-TabelaIRDT[[#This Row],[Imposto Devido]],
SUMIFS(TabelaIRDT[I.R.R.F. no mês],TabelaIRDT[Mês],"&gt;="&amp;DATE(YEAR(TabelaIRDT[[#This Row],[Mês]]),1,1),TabelaIRDT[Mês],"&lt;="&amp;EOMONTH(TabelaIRDT[[#This Row],[Mês]],0))
-
SUMIFS(TabelaIRDT[I.R.R.F Compensado],TabelaIRDT[Mês],"&gt;="&amp;DATE(YEAR(TabelaIRDT[[#This Row],[Mês]]),1,1),TabelaIRDT[Mês],"&lt;"&amp;TabelaIRDT[[#This Row],[Mês]])
)
)</f>
        <v>0</v>
      </c>
      <c r="N25" s="2">
        <f>IF(TabelaIRDT[[#This Row],[Imposto Devido]]+TabelaIRDT[[#This Row],[I.R.R.F Compensado]]&lt;0,0,TabelaIRDT[[#This Row],[Imposto Devido]]+TabelaIRDT[[#This Row],[I.R.R.F Compensado]])</f>
        <v>0</v>
      </c>
      <c r="O25" s="2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EBCED-6E58-495C-8205-7693DEB05ED5}">
  <sheetPr codeName="Planilha9"/>
  <dimension ref="A1:I2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" sqref="I1"/>
    </sheetView>
  </sheetViews>
  <sheetFormatPr defaultRowHeight="15" x14ac:dyDescent="0.25"/>
  <cols>
    <col min="1" max="1" width="7.28515625" style="37" bestFit="1" customWidth="1"/>
    <col min="2" max="2" width="16.140625" style="2" bestFit="1" customWidth="1"/>
    <col min="3" max="3" width="22" style="2" bestFit="1" customWidth="1"/>
    <col min="4" max="4" width="16.28515625" style="2" bestFit="1" customWidth="1"/>
    <col min="5" max="5" width="16.5703125" style="2" bestFit="1" customWidth="1"/>
    <col min="6" max="6" width="15.5703125" style="2" bestFit="1" customWidth="1"/>
    <col min="7" max="7" width="20.28515625" style="2" bestFit="1" customWidth="1"/>
    <col min="8" max="8" width="16.5703125" style="2" customWidth="1"/>
    <col min="9" max="9" width="14.5703125" bestFit="1" customWidth="1"/>
  </cols>
  <sheetData>
    <row r="1" spans="1:9" x14ac:dyDescent="0.25">
      <c r="A1" s="36" t="s">
        <v>76</v>
      </c>
      <c r="B1" s="35" t="s">
        <v>122</v>
      </c>
      <c r="C1" s="35" t="s">
        <v>79</v>
      </c>
      <c r="D1" s="34" t="s">
        <v>80</v>
      </c>
      <c r="E1" s="34" t="s">
        <v>81</v>
      </c>
      <c r="F1" s="35" t="s">
        <v>82</v>
      </c>
      <c r="G1" s="34" t="s">
        <v>95</v>
      </c>
      <c r="H1" s="34" t="s">
        <v>83</v>
      </c>
      <c r="I1" s="90" t="s">
        <v>1889</v>
      </c>
    </row>
    <row r="2" spans="1:9" x14ac:dyDescent="0.25">
      <c r="A2" s="37">
        <v>43831</v>
      </c>
      <c r="B2" s="2" cm="1">
        <f t="array" ref="B2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" s="2">
        <f t="shared" ref="C2:C25" si="0">IF(ROW()=2,0,IF(C1+B1&gt;=0,0,C1+B1))</f>
        <v>0</v>
      </c>
      <c r="D2" s="2">
        <f>IF(TabelaIRFII[[#This Row],[Resultado FII]]+TabelaIRFII[[#This Row],[Prejuízo a Compensar]]&gt;0,TabelaIRFII[[#This Row],[Resultado FII]]+TabelaIRFII[[#This Row],[Prejuízo a Compensar]],0)</f>
        <v>0</v>
      </c>
      <c r="E2" s="24">
        <f>ROUNDDOWN(TabelaIRFII[[#This Row],[Base de Cálculo]]*20%,2)</f>
        <v>0</v>
      </c>
      <c r="F2" s="2" cm="1">
        <f t="array" ref="F2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" s="2">
        <f>IF(TabelaIRFII[[#This Row],[Imposto Devido]]+TabelaIRFII[[#This Row],[I.R.R.F Compensado]]&lt;0,0,TabelaIRFII[[#This Row],[Imposto Devido]]+TabelaIRFII[[#This Row],[I.R.R.F Compensado]])</f>
        <v>0</v>
      </c>
      <c r="I2" s="24"/>
    </row>
    <row r="3" spans="1:9" x14ac:dyDescent="0.25">
      <c r="A3" s="37">
        <f>EDATE(A2,1)</f>
        <v>43862</v>
      </c>
      <c r="B3" s="2" cm="1">
        <f t="array" ref="B3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3" s="2">
        <f t="shared" si="0"/>
        <v>0</v>
      </c>
      <c r="D3" s="2">
        <f>IF(TabelaIRFII[[#This Row],[Resultado FII]]+TabelaIRFII[[#This Row],[Prejuízo a Compensar]]&gt;0,TabelaIRFII[[#This Row],[Resultado FII]]+TabelaIRFII[[#This Row],[Prejuízo a Compensar]],0)</f>
        <v>0</v>
      </c>
      <c r="E3" s="24">
        <f>ROUNDDOWN(TabelaIRFII[[#This Row],[Base de Cálculo]]*20%,2)</f>
        <v>0</v>
      </c>
      <c r="F3" s="2" cm="1">
        <f t="array" ref="F3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3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3" s="2">
        <f>IF(TabelaIRFII[[#This Row],[Imposto Devido]]+TabelaIRFII[[#This Row],[I.R.R.F Compensado]]&lt;0,0,TabelaIRFII[[#This Row],[Imposto Devido]]+TabelaIRFII[[#This Row],[I.R.R.F Compensado]])</f>
        <v>0</v>
      </c>
      <c r="I3" s="24"/>
    </row>
    <row r="4" spans="1:9" x14ac:dyDescent="0.25">
      <c r="A4" s="37">
        <f t="shared" ref="A4:A25" si="1">EDATE(A3,1)</f>
        <v>43891</v>
      </c>
      <c r="B4" s="2" cm="1">
        <f t="array" ref="B4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4" s="2">
        <f t="shared" si="0"/>
        <v>0</v>
      </c>
      <c r="D4" s="2">
        <f>IF(TabelaIRFII[[#This Row],[Resultado FII]]+TabelaIRFII[[#This Row],[Prejuízo a Compensar]]&gt;0,TabelaIRFII[[#This Row],[Resultado FII]]+TabelaIRFII[[#This Row],[Prejuízo a Compensar]],0)</f>
        <v>0</v>
      </c>
      <c r="E4" s="24">
        <f>ROUNDDOWN(TabelaIRFII[[#This Row],[Base de Cálculo]]*20%,2)</f>
        <v>0</v>
      </c>
      <c r="F4" s="2" cm="1">
        <f t="array" ref="F4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4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4" s="2">
        <f>IF(TabelaIRFII[[#This Row],[Imposto Devido]]+TabelaIRFII[[#This Row],[I.R.R.F Compensado]]&lt;0,0,TabelaIRFII[[#This Row],[Imposto Devido]]+TabelaIRFII[[#This Row],[I.R.R.F Compensado]])</f>
        <v>0</v>
      </c>
      <c r="I4" s="24"/>
    </row>
    <row r="5" spans="1:9" x14ac:dyDescent="0.25">
      <c r="A5" s="37">
        <f t="shared" si="1"/>
        <v>43922</v>
      </c>
      <c r="B5" s="2" cm="1">
        <f t="array" ref="B5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5" s="2">
        <f t="shared" si="0"/>
        <v>0</v>
      </c>
      <c r="D5" s="2">
        <f>IF(TabelaIRFII[[#This Row],[Resultado FII]]+TabelaIRFII[[#This Row],[Prejuízo a Compensar]]&gt;0,TabelaIRFII[[#This Row],[Resultado FII]]+TabelaIRFII[[#This Row],[Prejuízo a Compensar]],0)</f>
        <v>0</v>
      </c>
      <c r="E5" s="24">
        <f>ROUNDDOWN(TabelaIRFII[[#This Row],[Base de Cálculo]]*20%,2)</f>
        <v>0</v>
      </c>
      <c r="F5" s="2" cm="1">
        <f t="array" ref="F5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5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5" s="2">
        <f>IF(TabelaIRFII[[#This Row],[Imposto Devido]]+TabelaIRFII[[#This Row],[I.R.R.F Compensado]]&lt;0,0,TabelaIRFII[[#This Row],[Imposto Devido]]+TabelaIRFII[[#This Row],[I.R.R.F Compensado]])</f>
        <v>0</v>
      </c>
      <c r="I5" s="24"/>
    </row>
    <row r="6" spans="1:9" x14ac:dyDescent="0.25">
      <c r="A6" s="37">
        <f t="shared" si="1"/>
        <v>43952</v>
      </c>
      <c r="B6" s="2" cm="1">
        <f t="array" ref="B6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6" s="2">
        <f t="shared" si="0"/>
        <v>0</v>
      </c>
      <c r="D6" s="2">
        <f>IF(TabelaIRFII[[#This Row],[Resultado FII]]+TabelaIRFII[[#This Row],[Prejuízo a Compensar]]&gt;0,TabelaIRFII[[#This Row],[Resultado FII]]+TabelaIRFII[[#This Row],[Prejuízo a Compensar]],0)</f>
        <v>0</v>
      </c>
      <c r="E6" s="24">
        <f>ROUNDDOWN(TabelaIRFII[[#This Row],[Base de Cálculo]]*20%,2)</f>
        <v>0</v>
      </c>
      <c r="F6" s="2" cm="1">
        <f t="array" ref="F6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6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6" s="2">
        <f>IF(TabelaIRFII[[#This Row],[Imposto Devido]]+TabelaIRFII[[#This Row],[I.R.R.F Compensado]]&lt;0,0,TabelaIRFII[[#This Row],[Imposto Devido]]+TabelaIRFII[[#This Row],[I.R.R.F Compensado]])</f>
        <v>0</v>
      </c>
      <c r="I6" s="24"/>
    </row>
    <row r="7" spans="1:9" x14ac:dyDescent="0.25">
      <c r="A7" s="37">
        <f t="shared" si="1"/>
        <v>43983</v>
      </c>
      <c r="B7" s="2" cm="1">
        <f t="array" ref="B7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7" s="2">
        <f t="shared" si="0"/>
        <v>0</v>
      </c>
      <c r="D7" s="2">
        <f>IF(TabelaIRFII[[#This Row],[Resultado FII]]+TabelaIRFII[[#This Row],[Prejuízo a Compensar]]&gt;0,TabelaIRFII[[#This Row],[Resultado FII]]+TabelaIRFII[[#This Row],[Prejuízo a Compensar]],0)</f>
        <v>0</v>
      </c>
      <c r="E7" s="24">
        <f>ROUNDDOWN(TabelaIRFII[[#This Row],[Base de Cálculo]]*20%,2)</f>
        <v>0</v>
      </c>
      <c r="F7" s="2" cm="1">
        <f t="array" ref="F7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7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7" s="2">
        <f>IF(TabelaIRFII[[#This Row],[Imposto Devido]]+TabelaIRFII[[#This Row],[I.R.R.F Compensado]]&lt;0,0,TabelaIRFII[[#This Row],[Imposto Devido]]+TabelaIRFII[[#This Row],[I.R.R.F Compensado]])</f>
        <v>0</v>
      </c>
      <c r="I7" s="24"/>
    </row>
    <row r="8" spans="1:9" x14ac:dyDescent="0.25">
      <c r="A8" s="37">
        <f t="shared" si="1"/>
        <v>44013</v>
      </c>
      <c r="B8" s="2" cm="1">
        <f t="array" ref="B8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8" s="2">
        <f t="shared" si="0"/>
        <v>0</v>
      </c>
      <c r="D8" s="2">
        <f>IF(TabelaIRFII[[#This Row],[Resultado FII]]+TabelaIRFII[[#This Row],[Prejuízo a Compensar]]&gt;0,TabelaIRFII[[#This Row],[Resultado FII]]+TabelaIRFII[[#This Row],[Prejuízo a Compensar]],0)</f>
        <v>0</v>
      </c>
      <c r="E8" s="24">
        <f>ROUNDDOWN(TabelaIRFII[[#This Row],[Base de Cálculo]]*20%,2)</f>
        <v>0</v>
      </c>
      <c r="F8" s="2" cm="1">
        <f t="array" ref="F8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8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8" s="2">
        <f>IF(TabelaIRFII[[#This Row],[Imposto Devido]]+TabelaIRFII[[#This Row],[I.R.R.F Compensado]]&lt;0,0,TabelaIRFII[[#This Row],[Imposto Devido]]+TabelaIRFII[[#This Row],[I.R.R.F Compensado]])</f>
        <v>0</v>
      </c>
      <c r="I8" s="24"/>
    </row>
    <row r="9" spans="1:9" x14ac:dyDescent="0.25">
      <c r="A9" s="37">
        <f t="shared" si="1"/>
        <v>44044</v>
      </c>
      <c r="B9" s="2" cm="1">
        <f t="array" ref="B9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9" s="2">
        <f t="shared" si="0"/>
        <v>0</v>
      </c>
      <c r="D9" s="2">
        <f>IF(TabelaIRFII[[#This Row],[Resultado FII]]+TabelaIRFII[[#This Row],[Prejuízo a Compensar]]&gt;0,TabelaIRFII[[#This Row],[Resultado FII]]+TabelaIRFII[[#This Row],[Prejuízo a Compensar]],0)</f>
        <v>0</v>
      </c>
      <c r="E9" s="24">
        <f>ROUNDDOWN(TabelaIRFII[[#This Row],[Base de Cálculo]]*20%,2)</f>
        <v>0</v>
      </c>
      <c r="F9" s="2" cm="1">
        <f t="array" ref="F9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9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9" s="2">
        <f>IF(TabelaIRFII[[#This Row],[Imposto Devido]]+TabelaIRFII[[#This Row],[I.R.R.F Compensado]]&lt;0,0,TabelaIRFII[[#This Row],[Imposto Devido]]+TabelaIRFII[[#This Row],[I.R.R.F Compensado]])</f>
        <v>0</v>
      </c>
      <c r="I9" s="24"/>
    </row>
    <row r="10" spans="1:9" x14ac:dyDescent="0.25">
      <c r="A10" s="37">
        <f t="shared" si="1"/>
        <v>44075</v>
      </c>
      <c r="B10" s="2" cm="1">
        <f t="array" ref="B10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0" s="2">
        <f t="shared" si="0"/>
        <v>0</v>
      </c>
      <c r="D10" s="2">
        <f>IF(TabelaIRFII[[#This Row],[Resultado FII]]+TabelaIRFII[[#This Row],[Prejuízo a Compensar]]&gt;0,TabelaIRFII[[#This Row],[Resultado FII]]+TabelaIRFII[[#This Row],[Prejuízo a Compensar]],0)</f>
        <v>0</v>
      </c>
      <c r="E10" s="24">
        <f>ROUNDDOWN(TabelaIRFII[[#This Row],[Base de Cálculo]]*20%,2)</f>
        <v>0</v>
      </c>
      <c r="F10" s="2" cm="1">
        <f t="array" ref="F10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0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0" s="2">
        <f>IF(TabelaIRFII[[#This Row],[Imposto Devido]]+TabelaIRFII[[#This Row],[I.R.R.F Compensado]]&lt;0,0,TabelaIRFII[[#This Row],[Imposto Devido]]+TabelaIRFII[[#This Row],[I.R.R.F Compensado]])</f>
        <v>0</v>
      </c>
      <c r="I10" s="24"/>
    </row>
    <row r="11" spans="1:9" x14ac:dyDescent="0.25">
      <c r="A11" s="37">
        <f t="shared" si="1"/>
        <v>44105</v>
      </c>
      <c r="B11" s="2" cm="1">
        <f t="array" ref="B11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1" s="2">
        <f t="shared" si="0"/>
        <v>0</v>
      </c>
      <c r="D11" s="2">
        <f>IF(TabelaIRFII[[#This Row],[Resultado FII]]+TabelaIRFII[[#This Row],[Prejuízo a Compensar]]&gt;0,TabelaIRFII[[#This Row],[Resultado FII]]+TabelaIRFII[[#This Row],[Prejuízo a Compensar]],0)</f>
        <v>0</v>
      </c>
      <c r="E11" s="24">
        <f>ROUNDDOWN(TabelaIRFII[[#This Row],[Base de Cálculo]]*20%,2)</f>
        <v>0</v>
      </c>
      <c r="F11" s="2" cm="1">
        <f t="array" ref="F11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1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1" s="2">
        <f>IF(TabelaIRFII[[#This Row],[Imposto Devido]]+TabelaIRFII[[#This Row],[I.R.R.F Compensado]]&lt;0,0,TabelaIRFII[[#This Row],[Imposto Devido]]+TabelaIRFII[[#This Row],[I.R.R.F Compensado]])</f>
        <v>0</v>
      </c>
      <c r="I11" s="24"/>
    </row>
    <row r="12" spans="1:9" x14ac:dyDescent="0.25">
      <c r="A12" s="37">
        <f t="shared" si="1"/>
        <v>44136</v>
      </c>
      <c r="B12" s="2" cm="1">
        <f t="array" ref="B12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2" s="2">
        <f t="shared" si="0"/>
        <v>0</v>
      </c>
      <c r="D12" s="2">
        <f>IF(TabelaIRFII[[#This Row],[Resultado FII]]+TabelaIRFII[[#This Row],[Prejuízo a Compensar]]&gt;0,TabelaIRFII[[#This Row],[Resultado FII]]+TabelaIRFII[[#This Row],[Prejuízo a Compensar]],0)</f>
        <v>0</v>
      </c>
      <c r="E12" s="24">
        <f>ROUNDDOWN(TabelaIRFII[[#This Row],[Base de Cálculo]]*20%,2)</f>
        <v>0</v>
      </c>
      <c r="F12" s="2" cm="1">
        <f t="array" ref="F12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2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2" s="2">
        <f>IF(TabelaIRFII[[#This Row],[Imposto Devido]]+TabelaIRFII[[#This Row],[I.R.R.F Compensado]]&lt;0,0,TabelaIRFII[[#This Row],[Imposto Devido]]+TabelaIRFII[[#This Row],[I.R.R.F Compensado]])</f>
        <v>0</v>
      </c>
      <c r="I12" s="24"/>
    </row>
    <row r="13" spans="1:9" x14ac:dyDescent="0.25">
      <c r="A13" s="37">
        <f t="shared" si="1"/>
        <v>44166</v>
      </c>
      <c r="B13" s="2" cm="1">
        <f t="array" ref="B13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3" s="2">
        <f t="shared" si="0"/>
        <v>0</v>
      </c>
      <c r="D13" s="2">
        <f>IF(TabelaIRFII[[#This Row],[Resultado FII]]+TabelaIRFII[[#This Row],[Prejuízo a Compensar]]&gt;0,TabelaIRFII[[#This Row],[Resultado FII]]+TabelaIRFII[[#This Row],[Prejuízo a Compensar]],0)</f>
        <v>0</v>
      </c>
      <c r="E13" s="24">
        <f>ROUNDDOWN(TabelaIRFII[[#This Row],[Base de Cálculo]]*20%,2)</f>
        <v>0</v>
      </c>
      <c r="F13" s="2" cm="1">
        <f t="array" ref="F13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3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3" s="2">
        <f>IF(TabelaIRFII[[#This Row],[Imposto Devido]]+TabelaIRFII[[#This Row],[I.R.R.F Compensado]]&lt;0,0,TabelaIRFII[[#This Row],[Imposto Devido]]+TabelaIRFII[[#This Row],[I.R.R.F Compensado]])</f>
        <v>0</v>
      </c>
      <c r="I13" s="24"/>
    </row>
    <row r="14" spans="1:9" x14ac:dyDescent="0.25">
      <c r="A14" s="37">
        <f t="shared" si="1"/>
        <v>44197</v>
      </c>
      <c r="B14" s="2" cm="1">
        <f t="array" ref="B14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4" s="2">
        <f t="shared" si="0"/>
        <v>0</v>
      </c>
      <c r="D14" s="2">
        <f>IF(TabelaIRFII[[#This Row],[Resultado FII]]+TabelaIRFII[[#This Row],[Prejuízo a Compensar]]&gt;0,TabelaIRFII[[#This Row],[Resultado FII]]+TabelaIRFII[[#This Row],[Prejuízo a Compensar]],0)</f>
        <v>0</v>
      </c>
      <c r="E14" s="24">
        <f>ROUNDDOWN(TabelaIRFII[[#This Row],[Base de Cálculo]]*20%,2)</f>
        <v>0</v>
      </c>
      <c r="F14" s="2" cm="1">
        <f t="array" ref="F14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4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4" s="2">
        <f>IF(TabelaIRFII[[#This Row],[Imposto Devido]]+TabelaIRFII[[#This Row],[I.R.R.F Compensado]]&lt;0,0,TabelaIRFII[[#This Row],[Imposto Devido]]+TabelaIRFII[[#This Row],[I.R.R.F Compensado]])</f>
        <v>0</v>
      </c>
      <c r="I14" s="24"/>
    </row>
    <row r="15" spans="1:9" x14ac:dyDescent="0.25">
      <c r="A15" s="37">
        <f t="shared" si="1"/>
        <v>44228</v>
      </c>
      <c r="B15" s="2" cm="1">
        <f t="array" ref="B15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5" s="2">
        <f t="shared" si="0"/>
        <v>0</v>
      </c>
      <c r="D15" s="2">
        <f>IF(TabelaIRFII[[#This Row],[Resultado FII]]+TabelaIRFII[[#This Row],[Prejuízo a Compensar]]&gt;0,TabelaIRFII[[#This Row],[Resultado FII]]+TabelaIRFII[[#This Row],[Prejuízo a Compensar]],0)</f>
        <v>0</v>
      </c>
      <c r="E15" s="24">
        <f>ROUNDDOWN(TabelaIRFII[[#This Row],[Base de Cálculo]]*20%,2)</f>
        <v>0</v>
      </c>
      <c r="F15" s="2" cm="1">
        <f t="array" ref="F15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5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5" s="2">
        <f>IF(TabelaIRFII[[#This Row],[Imposto Devido]]+TabelaIRFII[[#This Row],[I.R.R.F Compensado]]&lt;0,0,TabelaIRFII[[#This Row],[Imposto Devido]]+TabelaIRFII[[#This Row],[I.R.R.F Compensado]])</f>
        <v>0</v>
      </c>
      <c r="I15" s="24"/>
    </row>
    <row r="16" spans="1:9" x14ac:dyDescent="0.25">
      <c r="A16" s="37">
        <f t="shared" si="1"/>
        <v>44256</v>
      </c>
      <c r="B16" s="2" cm="1">
        <f t="array" ref="B16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6" s="2">
        <f t="shared" si="0"/>
        <v>0</v>
      </c>
      <c r="D16" s="2">
        <f>IF(TabelaIRFII[[#This Row],[Resultado FII]]+TabelaIRFII[[#This Row],[Prejuízo a Compensar]]&gt;0,TabelaIRFII[[#This Row],[Resultado FII]]+TabelaIRFII[[#This Row],[Prejuízo a Compensar]],0)</f>
        <v>0</v>
      </c>
      <c r="E16" s="24">
        <f>ROUNDDOWN(TabelaIRFII[[#This Row],[Base de Cálculo]]*20%,2)</f>
        <v>0</v>
      </c>
      <c r="F16" s="2" cm="1">
        <f t="array" ref="F16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6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6" s="2">
        <f>IF(TabelaIRFII[[#This Row],[Imposto Devido]]+TabelaIRFII[[#This Row],[I.R.R.F Compensado]]&lt;0,0,TabelaIRFII[[#This Row],[Imposto Devido]]+TabelaIRFII[[#This Row],[I.R.R.F Compensado]])</f>
        <v>0</v>
      </c>
      <c r="I16" s="24"/>
    </row>
    <row r="17" spans="1:9" x14ac:dyDescent="0.25">
      <c r="A17" s="37">
        <f t="shared" si="1"/>
        <v>44287</v>
      </c>
      <c r="B17" s="2" cm="1">
        <f t="array" ref="B17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7" s="2">
        <f t="shared" si="0"/>
        <v>0</v>
      </c>
      <c r="D17" s="2">
        <f>IF(TabelaIRFII[[#This Row],[Resultado FII]]+TabelaIRFII[[#This Row],[Prejuízo a Compensar]]&gt;0,TabelaIRFII[[#This Row],[Resultado FII]]+TabelaIRFII[[#This Row],[Prejuízo a Compensar]],0)</f>
        <v>0</v>
      </c>
      <c r="E17" s="24">
        <f>ROUNDDOWN(TabelaIRFII[[#This Row],[Base de Cálculo]]*20%,2)</f>
        <v>0</v>
      </c>
      <c r="F17" s="2" cm="1">
        <f t="array" ref="F17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7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7" s="2">
        <f>IF(TabelaIRFII[[#This Row],[Imposto Devido]]+TabelaIRFII[[#This Row],[I.R.R.F Compensado]]&lt;0,0,TabelaIRFII[[#This Row],[Imposto Devido]]+TabelaIRFII[[#This Row],[I.R.R.F Compensado]])</f>
        <v>0</v>
      </c>
      <c r="I17" s="24"/>
    </row>
    <row r="18" spans="1:9" x14ac:dyDescent="0.25">
      <c r="A18" s="37">
        <f t="shared" si="1"/>
        <v>44317</v>
      </c>
      <c r="B18" s="2" cm="1">
        <f t="array" ref="B18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130.62</v>
      </c>
      <c r="C18" s="2">
        <f t="shared" si="0"/>
        <v>0</v>
      </c>
      <c r="D18" s="2">
        <f>IF(TabelaIRFII[[#This Row],[Resultado FII]]+TabelaIRFII[[#This Row],[Prejuízo a Compensar]]&gt;0,TabelaIRFII[[#This Row],[Resultado FII]]+TabelaIRFII[[#This Row],[Prejuízo a Compensar]],0)</f>
        <v>130.62</v>
      </c>
      <c r="E18" s="24">
        <f>ROUNDDOWN(TabelaIRFII[[#This Row],[Base de Cálculo]]*20%,2)</f>
        <v>26.12</v>
      </c>
      <c r="F18" s="2" cm="1">
        <f t="array" ref="F18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-0.02</v>
      </c>
      <c r="G18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-0.02</v>
      </c>
      <c r="H18" s="2">
        <f>IF(TabelaIRFII[[#This Row],[Imposto Devido]]+TabelaIRFII[[#This Row],[I.R.R.F Compensado]]&lt;0,0,TabelaIRFII[[#This Row],[Imposto Devido]]+TabelaIRFII[[#This Row],[I.R.R.F Compensado]])</f>
        <v>26.1</v>
      </c>
      <c r="I18" s="24"/>
    </row>
    <row r="19" spans="1:9" x14ac:dyDescent="0.25">
      <c r="A19" s="37">
        <f t="shared" si="1"/>
        <v>44348</v>
      </c>
      <c r="B19" s="2" cm="1">
        <f t="array" ref="B19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19" s="2">
        <f t="shared" si="0"/>
        <v>0</v>
      </c>
      <c r="D19" s="2">
        <f>IF(TabelaIRFII[[#This Row],[Resultado FII]]+TabelaIRFII[[#This Row],[Prejuízo a Compensar]]&gt;0,TabelaIRFII[[#This Row],[Resultado FII]]+TabelaIRFII[[#This Row],[Prejuízo a Compensar]],0)</f>
        <v>0</v>
      </c>
      <c r="E19" s="24">
        <f>ROUNDDOWN(TabelaIRFII[[#This Row],[Base de Cálculo]]*20%,2)</f>
        <v>0</v>
      </c>
      <c r="F19" s="2" cm="1">
        <f t="array" ref="F19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19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19" s="2">
        <f>IF(TabelaIRFII[[#This Row],[Imposto Devido]]+TabelaIRFII[[#This Row],[I.R.R.F Compensado]]&lt;0,0,TabelaIRFII[[#This Row],[Imposto Devido]]+TabelaIRFII[[#This Row],[I.R.R.F Compensado]])</f>
        <v>0</v>
      </c>
      <c r="I19" s="24"/>
    </row>
    <row r="20" spans="1:9" x14ac:dyDescent="0.25">
      <c r="A20" s="37">
        <f t="shared" si="1"/>
        <v>44378</v>
      </c>
      <c r="B20" s="2" cm="1">
        <f t="array" ref="B20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0" s="2">
        <f t="shared" si="0"/>
        <v>0</v>
      </c>
      <c r="D20" s="2">
        <f>IF(TabelaIRFII[[#This Row],[Resultado FII]]+TabelaIRFII[[#This Row],[Prejuízo a Compensar]]&gt;0,TabelaIRFII[[#This Row],[Resultado FII]]+TabelaIRFII[[#This Row],[Prejuízo a Compensar]],0)</f>
        <v>0</v>
      </c>
      <c r="E20" s="24">
        <f>ROUNDDOWN(TabelaIRFII[[#This Row],[Base de Cálculo]]*20%,2)</f>
        <v>0</v>
      </c>
      <c r="F20" s="2" cm="1">
        <f t="array" ref="F20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0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0" s="2">
        <f>IF(TabelaIRFII[[#This Row],[Imposto Devido]]+TabelaIRFII[[#This Row],[I.R.R.F Compensado]]&lt;0,0,TabelaIRFII[[#This Row],[Imposto Devido]]+TabelaIRFII[[#This Row],[I.R.R.F Compensado]])</f>
        <v>0</v>
      </c>
      <c r="I20" s="24"/>
    </row>
    <row r="21" spans="1:9" x14ac:dyDescent="0.25">
      <c r="A21" s="37">
        <f t="shared" si="1"/>
        <v>44409</v>
      </c>
      <c r="B21" s="2" cm="1">
        <f t="array" ref="B21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1" s="2">
        <f t="shared" si="0"/>
        <v>0</v>
      </c>
      <c r="D21" s="2">
        <f>IF(TabelaIRFII[[#This Row],[Resultado FII]]+TabelaIRFII[[#This Row],[Prejuízo a Compensar]]&gt;0,TabelaIRFII[[#This Row],[Resultado FII]]+TabelaIRFII[[#This Row],[Prejuízo a Compensar]],0)</f>
        <v>0</v>
      </c>
      <c r="E21" s="24">
        <f>ROUNDDOWN(TabelaIRFII[[#This Row],[Base de Cálculo]]*20%,2)</f>
        <v>0</v>
      </c>
      <c r="F21" s="2" cm="1">
        <f t="array" ref="F21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1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1" s="2">
        <f>IF(TabelaIRFII[[#This Row],[Imposto Devido]]+TabelaIRFII[[#This Row],[I.R.R.F Compensado]]&lt;0,0,TabelaIRFII[[#This Row],[Imposto Devido]]+TabelaIRFII[[#This Row],[I.R.R.F Compensado]])</f>
        <v>0</v>
      </c>
      <c r="I21" s="24"/>
    </row>
    <row r="22" spans="1:9" x14ac:dyDescent="0.25">
      <c r="A22" s="37">
        <f t="shared" si="1"/>
        <v>44440</v>
      </c>
      <c r="B22" s="2" cm="1">
        <f t="array" ref="B22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2" s="2">
        <f t="shared" si="0"/>
        <v>0</v>
      </c>
      <c r="D22" s="2">
        <f>IF(TabelaIRFII[[#This Row],[Resultado FII]]+TabelaIRFII[[#This Row],[Prejuízo a Compensar]]&gt;0,TabelaIRFII[[#This Row],[Resultado FII]]+TabelaIRFII[[#This Row],[Prejuízo a Compensar]],0)</f>
        <v>0</v>
      </c>
      <c r="E22" s="24">
        <f>ROUNDDOWN(TabelaIRFII[[#This Row],[Base de Cálculo]]*20%,2)</f>
        <v>0</v>
      </c>
      <c r="F22" s="2" cm="1">
        <f t="array" ref="F22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2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2" s="2">
        <f>IF(TabelaIRFII[[#This Row],[Imposto Devido]]+TabelaIRFII[[#This Row],[I.R.R.F Compensado]]&lt;0,0,TabelaIRFII[[#This Row],[Imposto Devido]]+TabelaIRFII[[#This Row],[I.R.R.F Compensado]])</f>
        <v>0</v>
      </c>
      <c r="I22" s="24"/>
    </row>
    <row r="23" spans="1:9" x14ac:dyDescent="0.25">
      <c r="A23" s="37">
        <f t="shared" si="1"/>
        <v>44470</v>
      </c>
      <c r="B23" s="2" cm="1">
        <f t="array" ref="B23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3" s="2">
        <f t="shared" si="0"/>
        <v>0</v>
      </c>
      <c r="D23" s="2">
        <f>IF(TabelaIRFII[[#This Row],[Resultado FII]]+TabelaIRFII[[#This Row],[Prejuízo a Compensar]]&gt;0,TabelaIRFII[[#This Row],[Resultado FII]]+TabelaIRFII[[#This Row],[Prejuízo a Compensar]],0)</f>
        <v>0</v>
      </c>
      <c r="E23" s="24">
        <f>ROUNDDOWN(TabelaIRFII[[#This Row],[Base de Cálculo]]*20%,2)</f>
        <v>0</v>
      </c>
      <c r="F23" s="2" cm="1">
        <f t="array" ref="F23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3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3" s="2">
        <f>IF(TabelaIRFII[[#This Row],[Imposto Devido]]+TabelaIRFII[[#This Row],[I.R.R.F Compensado]]&lt;0,0,TabelaIRFII[[#This Row],[Imposto Devido]]+TabelaIRFII[[#This Row],[I.R.R.F Compensado]])</f>
        <v>0</v>
      </c>
      <c r="I23" s="24"/>
    </row>
    <row r="24" spans="1:9" x14ac:dyDescent="0.25">
      <c r="A24" s="37">
        <f t="shared" si="1"/>
        <v>44501</v>
      </c>
      <c r="B24" s="2" cm="1">
        <f t="array" ref="B24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4" s="2">
        <f t="shared" si="0"/>
        <v>0</v>
      </c>
      <c r="D24" s="2">
        <f>IF(TabelaIRFII[[#This Row],[Resultado FII]]+TabelaIRFII[[#This Row],[Prejuízo a Compensar]]&gt;0,TabelaIRFII[[#This Row],[Resultado FII]]+TabelaIRFII[[#This Row],[Prejuízo a Compensar]],0)</f>
        <v>0</v>
      </c>
      <c r="E24" s="24">
        <f>ROUNDDOWN(TabelaIRFII[[#This Row],[Base de Cálculo]]*20%,2)</f>
        <v>0</v>
      </c>
      <c r="F24" s="2" cm="1">
        <f t="array" ref="F24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4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4" s="2">
        <f>IF(TabelaIRFII[[#This Row],[Imposto Devido]]+TabelaIRFII[[#This Row],[I.R.R.F Compensado]]&lt;0,0,TabelaIRFII[[#This Row],[Imposto Devido]]+TabelaIRFII[[#This Row],[I.R.R.F Compensado]])</f>
        <v>0</v>
      </c>
      <c r="I24" s="24"/>
    </row>
    <row r="25" spans="1:9" x14ac:dyDescent="0.25">
      <c r="A25" s="37">
        <f t="shared" si="1"/>
        <v>44531</v>
      </c>
      <c r="B25" s="2" cm="1">
        <f t="array" ref="B25">SUM(SUMIFS(TabelaMovimentacoes[Valor],TabelaMovimentacoes[Tipo],{"Resultado FII";"Resultado FII Day Trade"},TabelaMovimentacoes[Data Pregão],"&gt;="&amp;TabelaIRFII[[#This Row],[Mês]],TabelaMovimentacoes[Data Pregão],"&lt;="&amp;EOMONTH(TabelaIRFII[[#This Row],[Mês]],0)))</f>
        <v>0</v>
      </c>
      <c r="C25" s="2">
        <f t="shared" si="0"/>
        <v>0</v>
      </c>
      <c r="D25" s="2">
        <f>IF(TabelaIRFII[[#This Row],[Resultado FII]]+TabelaIRFII[[#This Row],[Prejuízo a Compensar]]&gt;0,TabelaIRFII[[#This Row],[Resultado FII]]+TabelaIRFII[[#This Row],[Prejuízo a Compensar]],0)</f>
        <v>0</v>
      </c>
      <c r="E25" s="24">
        <f>ROUNDDOWN(TabelaIRFII[[#This Row],[Base de Cálculo]]*20%,2)</f>
        <v>0</v>
      </c>
      <c r="F25" s="2" cm="1">
        <f t="array" ref="F25">SUM(SUMIFS(TabelaMovimentacoes[Valor],TabelaMovimentacoes[Tipo],{"I.R.R.F. FII";"I.R.R.F. FII Day Trade"},TabelaMovimentacoes[Data Liquidação],"&gt;="&amp;TabelaIRFII[[#This Row],[Mês]],TabelaMovimentacoes[Data Liquidação],"&lt;="&amp;EOMONTH(TabelaIRFII[[#This Row],[Mês]],0)))</f>
        <v>0</v>
      </c>
      <c r="G25" s="2">
        <f>IF(
TabelaIRFII[[#This Row],[Imposto Devido]]&lt;=0,0,
IF(TabelaIRFII[[#This Row],[Imposto Devido]]&lt;
ABS(SUMIFS(TabelaIRFII[I.R.R.F.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Row],[Mês]])),-TabelaIRFII[[#This Row],[Imposto Devido]],
SUMIFS(TabelaIRFII[I.R.R.F. no mês],TabelaIRFII[Mês],"&gt;="&amp;DATE(YEAR(TabelaIRFII[[#This Row],[Mês]]),1,1),TabelaIRFII[Mês],"&lt;="&amp;EOMONTH(TabelaIRFII[[#This Row],[Mês]],0))
-
SUMIFS(TabelaIRFII[I.R.R.F Compensado],TabelaIRFII[Mês],"&gt;="&amp;DATE(YEAR(TabelaIRFII[[#This Row],[Mês]]),1,1),TabelaIRFII[Mês],"&lt;"&amp;TabelaIRFII[[#This Row],[Mês]])
)
)</f>
        <v>0</v>
      </c>
      <c r="H25" s="2">
        <f>IF(TabelaIRFII[[#This Row],[Imposto Devido]]+TabelaIRFII[[#This Row],[I.R.R.F Compensado]]&lt;0,0,TabelaIRFII[[#This Row],[Imposto Devido]]+TabelaIRFII[[#This Row],[I.R.R.F Compensado]])</f>
        <v>0</v>
      </c>
      <c r="I25" s="2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8DCCB-692D-44B0-BB87-851AA14AE809}">
  <sheetPr codeName="Planilha10"/>
  <dimension ref="A1:E2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defaultRowHeight="15" x14ac:dyDescent="0.25"/>
  <cols>
    <col min="1" max="1" width="7.28515625" style="37" bestFit="1" customWidth="1"/>
    <col min="2" max="2" width="16.5703125" style="2" customWidth="1"/>
    <col min="3" max="3" width="14" bestFit="1" customWidth="1"/>
    <col min="4" max="4" width="18.42578125" style="41" bestFit="1" customWidth="1"/>
    <col min="5" max="5" width="14.5703125" bestFit="1" customWidth="1"/>
  </cols>
  <sheetData>
    <row r="1" spans="1:5" x14ac:dyDescent="0.25">
      <c r="A1" s="36" t="s">
        <v>76</v>
      </c>
      <c r="B1" s="34" t="s">
        <v>83</v>
      </c>
      <c r="C1" s="34" t="s">
        <v>94</v>
      </c>
      <c r="D1" s="40" t="s">
        <v>84</v>
      </c>
      <c r="E1" s="38" t="s">
        <v>85</v>
      </c>
    </row>
    <row r="2" spans="1:5" x14ac:dyDescent="0.25">
      <c r="A2" s="37">
        <v>43831</v>
      </c>
      <c r="B2" s="2">
        <f>TabelaIRFII[[#This Row],[Imposto a pagar]]+TabelaIRDT[[#This Row],[Imposto a pagar]]+TabelaIR[[#This Row],[Imposto a pagar]]</f>
        <v>0</v>
      </c>
      <c r="C2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" s="26" t="str">
        <f>IF(TabelaDARF[[#This Row],[DARF a pagar]]&gt;0,VLOOKUP(EDATE(TabelaDARF[[#This Row],[Mês]],1),Feriados!E:N,10,0),"")</f>
        <v/>
      </c>
      <c r="E2" s="2">
        <f>TabelaIR[[#This Row],[Imposto Pago]]+TabelaIRDT[[#This Row],[Imposto Pago]]+TabelaIRFII[[#This Row],[Imposto Pago]]</f>
        <v>0</v>
      </c>
    </row>
    <row r="3" spans="1:5" x14ac:dyDescent="0.25">
      <c r="A3" s="37">
        <f>EDATE(A2,1)</f>
        <v>43862</v>
      </c>
      <c r="B3" s="2">
        <f>TabelaIRFII[[#This Row],[Imposto a pagar]]+TabelaIRDT[[#This Row],[Imposto a pagar]]+TabelaIR[[#This Row],[Imposto a pagar]]</f>
        <v>0</v>
      </c>
      <c r="C3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3" s="26" t="str">
        <f>IF(TabelaDARF[[#This Row],[DARF a pagar]]&gt;0,VLOOKUP(EDATE(TabelaDARF[[#This Row],[Mês]],1),Feriados!E:N,10,0),"")</f>
        <v/>
      </c>
      <c r="E3" s="2">
        <f>TabelaIR[[#This Row],[Imposto Pago]]+TabelaIRDT[[#This Row],[Imposto Pago]]+TabelaIRFII[[#This Row],[Imposto Pago]]</f>
        <v>0</v>
      </c>
    </row>
    <row r="4" spans="1:5" x14ac:dyDescent="0.25">
      <c r="A4" s="37">
        <f t="shared" ref="A4:A25" si="0">EDATE(A3,1)</f>
        <v>43891</v>
      </c>
      <c r="B4" s="2">
        <f>TabelaIRFII[[#This Row],[Imposto a pagar]]+TabelaIRDT[[#This Row],[Imposto a pagar]]+TabelaIR[[#This Row],[Imposto a pagar]]</f>
        <v>0</v>
      </c>
      <c r="C4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4" s="26" t="str">
        <f>IF(TabelaDARF[[#This Row],[DARF a pagar]]&gt;0,VLOOKUP(EDATE(TabelaDARF[[#This Row],[Mês]],1),Feriados!E:N,10,0),"")</f>
        <v/>
      </c>
      <c r="E4" s="2">
        <f>TabelaIR[[#This Row],[Imposto Pago]]+TabelaIRDT[[#This Row],[Imposto Pago]]+TabelaIRFII[[#This Row],[Imposto Pago]]</f>
        <v>0</v>
      </c>
    </row>
    <row r="5" spans="1:5" x14ac:dyDescent="0.25">
      <c r="A5" s="37">
        <f t="shared" si="0"/>
        <v>43922</v>
      </c>
      <c r="B5" s="2">
        <f>TabelaIRFII[[#This Row],[Imposto a pagar]]+TabelaIRDT[[#This Row],[Imposto a pagar]]+TabelaIR[[#This Row],[Imposto a pagar]]</f>
        <v>0</v>
      </c>
      <c r="C5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5" s="26" t="str">
        <f>IF(TabelaDARF[[#This Row],[DARF a pagar]]&gt;0,VLOOKUP(EDATE(TabelaDARF[[#This Row],[Mês]],1),Feriados!E:N,10,0),"")</f>
        <v/>
      </c>
      <c r="E5" s="2">
        <f>TabelaIR[[#This Row],[Imposto Pago]]+TabelaIRDT[[#This Row],[Imposto Pago]]+TabelaIRFII[[#This Row],[Imposto Pago]]</f>
        <v>0</v>
      </c>
    </row>
    <row r="6" spans="1:5" x14ac:dyDescent="0.25">
      <c r="A6" s="37">
        <f t="shared" si="0"/>
        <v>43952</v>
      </c>
      <c r="B6" s="2">
        <f>TabelaIRFII[[#This Row],[Imposto a pagar]]+TabelaIRDT[[#This Row],[Imposto a pagar]]+TabelaIR[[#This Row],[Imposto a pagar]]</f>
        <v>0</v>
      </c>
      <c r="C6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6" s="26" t="str">
        <f>IF(TabelaDARF[[#This Row],[DARF a pagar]]&gt;0,VLOOKUP(EDATE(TabelaDARF[[#This Row],[Mês]],1),Feriados!E:N,10,0),"")</f>
        <v/>
      </c>
      <c r="E6" s="2">
        <f>TabelaIR[[#This Row],[Imposto Pago]]+TabelaIRDT[[#This Row],[Imposto Pago]]+TabelaIRFII[[#This Row],[Imposto Pago]]</f>
        <v>0</v>
      </c>
    </row>
    <row r="7" spans="1:5" x14ac:dyDescent="0.25">
      <c r="A7" s="37">
        <f t="shared" si="0"/>
        <v>43983</v>
      </c>
      <c r="B7" s="2">
        <f>TabelaIRFII[[#This Row],[Imposto a pagar]]+TabelaIRDT[[#This Row],[Imposto a pagar]]+TabelaIR[[#This Row],[Imposto a pagar]]</f>
        <v>0</v>
      </c>
      <c r="C7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7" s="26" t="str">
        <f>IF(TabelaDARF[[#This Row],[DARF a pagar]]&gt;0,VLOOKUP(EDATE(TabelaDARF[[#This Row],[Mês]],1),Feriados!E:N,10,0),"")</f>
        <v/>
      </c>
      <c r="E7" s="2">
        <f>TabelaIR[[#This Row],[Imposto Pago]]+TabelaIRDT[[#This Row],[Imposto Pago]]+TabelaIRFII[[#This Row],[Imposto Pago]]</f>
        <v>0</v>
      </c>
    </row>
    <row r="8" spans="1:5" x14ac:dyDescent="0.25">
      <c r="A8" s="37">
        <f t="shared" si="0"/>
        <v>44013</v>
      </c>
      <c r="B8" s="2">
        <f>TabelaIRFII[[#This Row],[Imposto a pagar]]+TabelaIRDT[[#This Row],[Imposto a pagar]]+TabelaIR[[#This Row],[Imposto a pagar]]</f>
        <v>0</v>
      </c>
      <c r="C8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8" s="26" t="str">
        <f>IF(TabelaDARF[[#This Row],[DARF a pagar]]&gt;0,VLOOKUP(EDATE(TabelaDARF[[#This Row],[Mês]],1),Feriados!E:N,10,0),"")</f>
        <v/>
      </c>
      <c r="E8" s="2">
        <f>TabelaIR[[#This Row],[Imposto Pago]]+TabelaIRDT[[#This Row],[Imposto Pago]]+TabelaIRFII[[#This Row],[Imposto Pago]]</f>
        <v>0</v>
      </c>
    </row>
    <row r="9" spans="1:5" x14ac:dyDescent="0.25">
      <c r="A9" s="37">
        <f t="shared" si="0"/>
        <v>44044</v>
      </c>
      <c r="B9" s="2">
        <f>TabelaIRFII[[#This Row],[Imposto a pagar]]+TabelaIRDT[[#This Row],[Imposto a pagar]]+TabelaIR[[#This Row],[Imposto a pagar]]</f>
        <v>0</v>
      </c>
      <c r="C9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9" s="26" t="str">
        <f>IF(TabelaDARF[[#This Row],[DARF a pagar]]&gt;0,VLOOKUP(EDATE(TabelaDARF[[#This Row],[Mês]],1),Feriados!E:N,10,0),"")</f>
        <v/>
      </c>
      <c r="E9" s="2">
        <f>TabelaIR[[#This Row],[Imposto Pago]]+TabelaIRDT[[#This Row],[Imposto Pago]]+TabelaIRFII[[#This Row],[Imposto Pago]]</f>
        <v>0</v>
      </c>
    </row>
    <row r="10" spans="1:5" x14ac:dyDescent="0.25">
      <c r="A10" s="37">
        <f t="shared" si="0"/>
        <v>44075</v>
      </c>
      <c r="B10" s="2">
        <f>TabelaIRFII[[#This Row],[Imposto a pagar]]+TabelaIRDT[[#This Row],[Imposto a pagar]]+TabelaIR[[#This Row],[Imposto a pagar]]</f>
        <v>0</v>
      </c>
      <c r="C10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0" s="26" t="str">
        <f>IF(TabelaDARF[[#This Row],[DARF a pagar]]&gt;0,VLOOKUP(EDATE(TabelaDARF[[#This Row],[Mês]],1),Feriados!E:N,10,0),"")</f>
        <v/>
      </c>
      <c r="E10" s="2">
        <f>TabelaIR[[#This Row],[Imposto Pago]]+TabelaIRDT[[#This Row],[Imposto Pago]]+TabelaIRFII[[#This Row],[Imposto Pago]]</f>
        <v>0</v>
      </c>
    </row>
    <row r="11" spans="1:5" x14ac:dyDescent="0.25">
      <c r="A11" s="37">
        <f t="shared" si="0"/>
        <v>44105</v>
      </c>
      <c r="B11" s="2">
        <f>TabelaIRFII[[#This Row],[Imposto a pagar]]+TabelaIRDT[[#This Row],[Imposto a pagar]]+TabelaIR[[#This Row],[Imposto a pagar]]</f>
        <v>0</v>
      </c>
      <c r="C11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1" s="26" t="str">
        <f>IF(TabelaDARF[[#This Row],[DARF a pagar]]&gt;0,VLOOKUP(EDATE(TabelaDARF[[#This Row],[Mês]],1),Feriados!E:N,10,0),"")</f>
        <v/>
      </c>
      <c r="E11" s="2">
        <f>TabelaIR[[#This Row],[Imposto Pago]]+TabelaIRDT[[#This Row],[Imposto Pago]]+TabelaIRFII[[#This Row],[Imposto Pago]]</f>
        <v>0</v>
      </c>
    </row>
    <row r="12" spans="1:5" x14ac:dyDescent="0.25">
      <c r="A12" s="37">
        <f t="shared" si="0"/>
        <v>44136</v>
      </c>
      <c r="B12" s="2">
        <f>TabelaIRFII[[#This Row],[Imposto a pagar]]+TabelaIRDT[[#This Row],[Imposto a pagar]]+TabelaIR[[#This Row],[Imposto a pagar]]</f>
        <v>0</v>
      </c>
      <c r="C12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2" s="26" t="str">
        <f>IF(TabelaDARF[[#This Row],[DARF a pagar]]&gt;0,VLOOKUP(EDATE(TabelaDARF[[#This Row],[Mês]],1),Feriados!E:N,10,0),"")</f>
        <v/>
      </c>
      <c r="E12" s="2">
        <f>TabelaIR[[#This Row],[Imposto Pago]]+TabelaIRDT[[#This Row],[Imposto Pago]]+TabelaIRFII[[#This Row],[Imposto Pago]]</f>
        <v>0</v>
      </c>
    </row>
    <row r="13" spans="1:5" x14ac:dyDescent="0.25">
      <c r="A13" s="37">
        <f t="shared" si="0"/>
        <v>44166</v>
      </c>
      <c r="B13" s="2">
        <f>TabelaIRFII[[#This Row],[Imposto a pagar]]+TabelaIRDT[[#This Row],[Imposto a pagar]]+TabelaIR[[#This Row],[Imposto a pagar]]</f>
        <v>0</v>
      </c>
      <c r="C13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3" s="26" t="str">
        <f>IF(TabelaDARF[[#This Row],[DARF a pagar]]&gt;0,VLOOKUP(EDATE(TabelaDARF[[#This Row],[Mês]],1),Feriados!E:N,10,0),"")</f>
        <v/>
      </c>
      <c r="E13" s="2">
        <f>TabelaIR[[#This Row],[Imposto Pago]]+TabelaIRDT[[#This Row],[Imposto Pago]]+TabelaIRFII[[#This Row],[Imposto Pago]]</f>
        <v>0</v>
      </c>
    </row>
    <row r="14" spans="1:5" x14ac:dyDescent="0.25">
      <c r="A14" s="37">
        <f t="shared" si="0"/>
        <v>44197</v>
      </c>
      <c r="B14" s="2">
        <f>TabelaIRFII[[#This Row],[Imposto a pagar]]+TabelaIRDT[[#This Row],[Imposto a pagar]]+TabelaIR[[#This Row],[Imposto a pagar]]</f>
        <v>0</v>
      </c>
      <c r="C14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4" s="26" t="str">
        <f>IF(TabelaDARF[[#This Row],[DARF a pagar]]&gt;0,VLOOKUP(EDATE(TabelaDARF[[#This Row],[Mês]],1),Feriados!E:N,10,0),"")</f>
        <v/>
      </c>
      <c r="E14" s="2">
        <f>TabelaIR[[#This Row],[Imposto Pago]]+TabelaIRDT[[#This Row],[Imposto Pago]]+TabelaIRFII[[#This Row],[Imposto Pago]]</f>
        <v>0</v>
      </c>
    </row>
    <row r="15" spans="1:5" x14ac:dyDescent="0.25">
      <c r="A15" s="37">
        <f t="shared" si="0"/>
        <v>44228</v>
      </c>
      <c r="B15" s="2">
        <f>TabelaIRFII[[#This Row],[Imposto a pagar]]+TabelaIRDT[[#This Row],[Imposto a pagar]]+TabelaIR[[#This Row],[Imposto a pagar]]</f>
        <v>0</v>
      </c>
      <c r="C15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5" s="26" t="str">
        <f>IF(TabelaDARF[[#This Row],[DARF a pagar]]&gt;0,VLOOKUP(EDATE(TabelaDARF[[#This Row],[Mês]],1),Feriados!E:N,10,0),"")</f>
        <v/>
      </c>
      <c r="E15" s="2">
        <f>TabelaIR[[#This Row],[Imposto Pago]]+TabelaIRDT[[#This Row],[Imposto Pago]]+TabelaIRFII[[#This Row],[Imposto Pago]]</f>
        <v>0</v>
      </c>
    </row>
    <row r="16" spans="1:5" x14ac:dyDescent="0.25">
      <c r="A16" s="37">
        <f t="shared" si="0"/>
        <v>44256</v>
      </c>
      <c r="B16" s="2">
        <f>TabelaIRFII[[#This Row],[Imposto a pagar]]+TabelaIRDT[[#This Row],[Imposto a pagar]]+TabelaIR[[#This Row],[Imposto a pagar]]</f>
        <v>8.6399999999999988</v>
      </c>
      <c r="C16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6" s="26" t="str">
        <f>IF(TabelaDARF[[#This Row],[DARF a pagar]]&gt;0,VLOOKUP(EDATE(TabelaDARF[[#This Row],[Mês]],1),Feriados!E:N,10,0),"")</f>
        <v/>
      </c>
      <c r="E16" s="2">
        <f>TabelaIR[[#This Row],[Imposto Pago]]+TabelaIRDT[[#This Row],[Imposto Pago]]+TabelaIRFII[[#This Row],[Imposto Pago]]</f>
        <v>0</v>
      </c>
    </row>
    <row r="17" spans="1:5" x14ac:dyDescent="0.25">
      <c r="A17" s="37">
        <f t="shared" si="0"/>
        <v>44287</v>
      </c>
      <c r="B17" s="2">
        <f>TabelaIRFII[[#This Row],[Imposto a pagar]]+TabelaIRDT[[#This Row],[Imposto a pagar]]+TabelaIR[[#This Row],[Imposto a pagar]]</f>
        <v>3.9600000000000004</v>
      </c>
      <c r="C17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12.6</v>
      </c>
      <c r="D17" s="26">
        <f>IF(TabelaDARF[[#This Row],[DARF a pagar]]&gt;0,VLOOKUP(EDATE(TabelaDARF[[#This Row],[Mês]],1),Feriados!E:N,10,0),"")</f>
        <v>44347</v>
      </c>
      <c r="E17" s="2">
        <f>TabelaIR[[#This Row],[Imposto Pago]]+TabelaIRDT[[#This Row],[Imposto Pago]]+TabelaIRFII[[#This Row],[Imposto Pago]]</f>
        <v>0</v>
      </c>
    </row>
    <row r="18" spans="1:5" x14ac:dyDescent="0.25">
      <c r="A18" s="37">
        <f t="shared" si="0"/>
        <v>44317</v>
      </c>
      <c r="B18" s="2">
        <f>TabelaIRFII[[#This Row],[Imposto a pagar]]+TabelaIRDT[[#This Row],[Imposto a pagar]]+TabelaIR[[#This Row],[Imposto a pagar]]</f>
        <v>26.1</v>
      </c>
      <c r="C18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26.1</v>
      </c>
      <c r="D18" s="26">
        <f>IF(TabelaDARF[[#This Row],[DARF a pagar]]&gt;0,VLOOKUP(EDATE(TabelaDARF[[#This Row],[Mês]],1),Feriados!E:N,10,0),"")</f>
        <v>44377</v>
      </c>
      <c r="E18" s="2">
        <f>TabelaIR[[#This Row],[Imposto Pago]]+TabelaIRDT[[#This Row],[Imposto Pago]]+TabelaIRFII[[#This Row],[Imposto Pago]]</f>
        <v>0</v>
      </c>
    </row>
    <row r="19" spans="1:5" x14ac:dyDescent="0.25">
      <c r="A19" s="37">
        <f t="shared" si="0"/>
        <v>44348</v>
      </c>
      <c r="B19" s="2">
        <f>TabelaIRFII[[#This Row],[Imposto a pagar]]+TabelaIRDT[[#This Row],[Imposto a pagar]]+TabelaIR[[#This Row],[Imposto a pagar]]</f>
        <v>0</v>
      </c>
      <c r="C19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19" s="26" t="str">
        <f>IF(TabelaDARF[[#This Row],[DARF a pagar]]&gt;0,VLOOKUP(EDATE(TabelaDARF[[#This Row],[Mês]],1),Feriados!E:N,10,0),"")</f>
        <v/>
      </c>
      <c r="E19" s="2">
        <f>TabelaIR[[#This Row],[Imposto Pago]]+TabelaIRDT[[#This Row],[Imposto Pago]]+TabelaIRFII[[#This Row],[Imposto Pago]]</f>
        <v>0</v>
      </c>
    </row>
    <row r="20" spans="1:5" x14ac:dyDescent="0.25">
      <c r="A20" s="37">
        <f t="shared" si="0"/>
        <v>44378</v>
      </c>
      <c r="B20" s="2">
        <f>TabelaIRFII[[#This Row],[Imposto a pagar]]+TabelaIRDT[[#This Row],[Imposto a pagar]]+TabelaIR[[#This Row],[Imposto a pagar]]</f>
        <v>0</v>
      </c>
      <c r="C20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0" s="26" t="str">
        <f>IF(TabelaDARF[[#This Row],[DARF a pagar]]&gt;0,VLOOKUP(EDATE(TabelaDARF[[#This Row],[Mês]],1),Feriados!E:N,10,0),"")</f>
        <v/>
      </c>
      <c r="E20" s="2">
        <f>TabelaIR[[#This Row],[Imposto Pago]]+TabelaIRDT[[#This Row],[Imposto Pago]]+TabelaIRFII[[#This Row],[Imposto Pago]]</f>
        <v>0</v>
      </c>
    </row>
    <row r="21" spans="1:5" x14ac:dyDescent="0.25">
      <c r="A21" s="37">
        <f t="shared" si="0"/>
        <v>44409</v>
      </c>
      <c r="B21" s="2">
        <f>TabelaIRFII[[#This Row],[Imposto a pagar]]+TabelaIRDT[[#This Row],[Imposto a pagar]]+TabelaIR[[#This Row],[Imposto a pagar]]</f>
        <v>0</v>
      </c>
      <c r="C21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1" s="26" t="str">
        <f>IF(TabelaDARF[[#This Row],[DARF a pagar]]&gt;0,VLOOKUP(EDATE(TabelaDARF[[#This Row],[Mês]],1),Feriados!E:N,10,0),"")</f>
        <v/>
      </c>
      <c r="E21" s="2">
        <f>TabelaIR[[#This Row],[Imposto Pago]]+TabelaIRDT[[#This Row],[Imposto Pago]]+TabelaIRFII[[#This Row],[Imposto Pago]]</f>
        <v>0</v>
      </c>
    </row>
    <row r="22" spans="1:5" x14ac:dyDescent="0.25">
      <c r="A22" s="37">
        <f t="shared" si="0"/>
        <v>44440</v>
      </c>
      <c r="B22" s="2">
        <f>TabelaIRFII[[#This Row],[Imposto a pagar]]+TabelaIRDT[[#This Row],[Imposto a pagar]]+TabelaIR[[#This Row],[Imposto a pagar]]</f>
        <v>0</v>
      </c>
      <c r="C22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2" s="26" t="str">
        <f>IF(TabelaDARF[[#This Row],[DARF a pagar]]&gt;0,VLOOKUP(EDATE(TabelaDARF[[#This Row],[Mês]],1),Feriados!E:N,10,0),"")</f>
        <v/>
      </c>
      <c r="E22" s="2">
        <f>TabelaIR[[#This Row],[Imposto Pago]]+TabelaIRDT[[#This Row],[Imposto Pago]]+TabelaIRFII[[#This Row],[Imposto Pago]]</f>
        <v>0</v>
      </c>
    </row>
    <row r="23" spans="1:5" x14ac:dyDescent="0.25">
      <c r="A23" s="37">
        <f t="shared" si="0"/>
        <v>44470</v>
      </c>
      <c r="B23" s="2">
        <f>TabelaIRFII[[#This Row],[Imposto a pagar]]+TabelaIRDT[[#This Row],[Imposto a pagar]]+TabelaIR[[#This Row],[Imposto a pagar]]</f>
        <v>0</v>
      </c>
      <c r="C23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3" s="26" t="str">
        <f>IF(TabelaDARF[[#This Row],[DARF a pagar]]&gt;0,VLOOKUP(EDATE(TabelaDARF[[#This Row],[Mês]],1),Feriados!E:N,10,0),"")</f>
        <v/>
      </c>
      <c r="E23" s="2">
        <f>TabelaIR[[#This Row],[Imposto Pago]]+TabelaIRDT[[#This Row],[Imposto Pago]]+TabelaIRFII[[#This Row],[Imposto Pago]]</f>
        <v>0</v>
      </c>
    </row>
    <row r="24" spans="1:5" x14ac:dyDescent="0.25">
      <c r="A24" s="37">
        <f t="shared" si="0"/>
        <v>44501</v>
      </c>
      <c r="B24" s="2">
        <f>TabelaIRFII[[#This Row],[Imposto a pagar]]+TabelaIRDT[[#This Row],[Imposto a pagar]]+TabelaIR[[#This Row],[Imposto a pagar]]</f>
        <v>0</v>
      </c>
      <c r="C24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4" s="26" t="str">
        <f>IF(TabelaDARF[[#This Row],[DARF a pagar]]&gt;0,VLOOKUP(EDATE(TabelaDARF[[#This Row],[Mês]],1),Feriados!E:N,10,0),"")</f>
        <v/>
      </c>
      <c r="E24" s="2">
        <f>TabelaIR[[#This Row],[Imposto Pago]]+TabelaIRDT[[#This Row],[Imposto Pago]]+TabelaIRFII[[#This Row],[Imposto Pago]]</f>
        <v>0</v>
      </c>
    </row>
    <row r="25" spans="1:5" x14ac:dyDescent="0.25">
      <c r="A25" s="37">
        <f t="shared" si="0"/>
        <v>44531</v>
      </c>
      <c r="B25" s="2">
        <f>TabelaIRFII[[#This Row],[Imposto a pagar]]+TabelaIRDT[[#This Row],[Imposto a pagar]]+TabelaIR[[#This Row],[Imposto a pagar]]</f>
        <v>0</v>
      </c>
      <c r="C25" s="2">
        <f>IF(SUMIFS(TabelaDARF[Imposto a pagar],TabelaDARF[Mês],"&lt;="&amp;EOMONTH(TabelaDARF[[#This Row],[Mês]],0))-SUMIFS(TabelaDARF[DARF a pagar],TabelaDARF[Mês],"&lt;"&amp;TabelaDARF[[#This Row],[Mês]])&gt;10,SUMIFS(TabelaDARF[Imposto a pagar],TabelaDARF[Mês],"&lt;="&amp;EOMONTH(TabelaDARF[[#This Row],[Mês]],0))-SUMIFS(TabelaDARF[DARF a pagar],TabelaDARF[Mês],"&lt;"&amp;TabelaDARF[[#This Row],[Mês]]),0)</f>
        <v>0</v>
      </c>
      <c r="D25" s="26" t="str">
        <f>IF(TabelaDARF[[#This Row],[DARF a pagar]]&gt;0,VLOOKUP(EDATE(TabelaDARF[[#This Row],[Mês]],1),Feriados!E:N,10,0),"")</f>
        <v/>
      </c>
      <c r="E25" s="2">
        <f>TabelaIR[[#This Row],[Imposto Pago]]+TabelaIRDT[[#This Row],[Imposto Pago]]+TabelaIRFII[[#This Row],[Imposto Pago]]</f>
        <v>0</v>
      </c>
    </row>
  </sheetData>
  <conditionalFormatting sqref="C2:C1048576">
    <cfRule type="cellIs" dxfId="17" priority="2" operator="greaterThan">
      <formula>0</formula>
    </cfRule>
  </conditionalFormatting>
  <conditionalFormatting sqref="D2:D1048576">
    <cfRule type="expression" dxfId="16" priority="1">
      <formula>$C2&gt;0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4DB7-FD28-45D4-A6B6-FEB290746D59}">
  <sheetPr codeName="Planilha13"/>
  <dimension ref="A1:AH30"/>
  <sheetViews>
    <sheetView showGridLines="0" workbookViewId="0">
      <selection activeCell="AF8" sqref="AF8"/>
    </sheetView>
  </sheetViews>
  <sheetFormatPr defaultRowHeight="15" x14ac:dyDescent="0.25"/>
  <cols>
    <col min="1" max="1" width="11.5703125" bestFit="1" customWidth="1"/>
    <col min="2" max="2" width="11.7109375" bestFit="1" customWidth="1"/>
    <col min="3" max="3" width="18" bestFit="1" customWidth="1"/>
    <col min="5" max="5" width="8.140625" hidden="1" customWidth="1"/>
    <col min="6" max="6" width="5.28515625" hidden="1" customWidth="1"/>
    <col min="7" max="9" width="10.85546875" hidden="1" customWidth="1"/>
    <col min="10" max="10" width="25.28515625" hidden="1" customWidth="1"/>
    <col min="11" max="11" width="23.7109375" style="2" hidden="1" customWidth="1"/>
    <col min="12" max="12" width="25.28515625" hidden="1" customWidth="1"/>
    <col min="13" max="13" width="23.7109375" style="2" hidden="1" customWidth="1"/>
    <col min="14" max="14" width="34.140625" hidden="1" customWidth="1"/>
    <col min="15" max="15" width="9.140625" hidden="1" customWidth="1"/>
    <col min="16" max="16" width="17.85546875" style="3" bestFit="1" customWidth="1"/>
    <col min="17" max="19" width="10.85546875" style="3" hidden="1" customWidth="1"/>
    <col min="20" max="20" width="5.5703125" style="3" hidden="1" customWidth="1"/>
    <col min="21" max="21" width="25.28515625" style="3" hidden="1" customWidth="1"/>
    <col min="22" max="22" width="27.7109375" style="4" hidden="1" customWidth="1"/>
    <col min="23" max="23" width="8.5703125" style="3" bestFit="1" customWidth="1"/>
    <col min="24" max="24" width="18" style="3" bestFit="1" customWidth="1"/>
    <col min="25" max="25" width="13.85546875" style="3" hidden="1" customWidth="1"/>
    <col min="26" max="26" width="14.140625" style="3" hidden="1" customWidth="1"/>
    <col min="27" max="27" width="14.7109375" style="3" hidden="1" customWidth="1"/>
    <col min="28" max="28" width="8.5703125" style="3" hidden="1" customWidth="1"/>
    <col min="29" max="29" width="11.7109375" style="3" hidden="1" customWidth="1"/>
    <col min="30" max="31" width="13.28515625" style="3" hidden="1" customWidth="1"/>
    <col min="32" max="32" width="43.140625" style="43" customWidth="1"/>
    <col min="33" max="34" width="22.28515625" style="3" bestFit="1" customWidth="1"/>
  </cols>
  <sheetData>
    <row r="1" spans="1:34" x14ac:dyDescent="0.25">
      <c r="A1" s="44" t="s">
        <v>126</v>
      </c>
      <c r="B1" s="45">
        <v>2021</v>
      </c>
      <c r="C1" s="3"/>
      <c r="E1" s="5" t="s">
        <v>46</v>
      </c>
      <c r="F1" s="5" t="s">
        <v>5</v>
      </c>
      <c r="G1" s="5" t="s">
        <v>1855</v>
      </c>
      <c r="H1" s="5" t="s">
        <v>1857</v>
      </c>
      <c r="I1" s="5" t="s">
        <v>1856</v>
      </c>
      <c r="J1" s="5" t="str">
        <f>"Quantidade em 31/12/"&amp;(B1-1)</f>
        <v>Quantidade em 31/12/2020</v>
      </c>
      <c r="K1" s="12" t="str">
        <f>"Situação em 31/12/"&amp;(B1-1)</f>
        <v>Situação em 31/12/2020</v>
      </c>
      <c r="L1" s="5" t="str">
        <f>"Quantidade em 31/12/"&amp;B1</f>
        <v>Quantidade em 31/12/2021</v>
      </c>
      <c r="M1" s="12" t="str">
        <f>"Situação em 31/12/"&amp;B1</f>
        <v>Situação em 31/12/2021</v>
      </c>
      <c r="N1" s="5" t="str">
        <f>"Terminou "&amp;(B1-1)&amp;" ou "&amp;B1&amp;" posicionado?"</f>
        <v>Terminou 2020 ou 2021 posicionado?</v>
      </c>
      <c r="P1" s="44" t="s">
        <v>46</v>
      </c>
      <c r="Q1" s="44" t="s">
        <v>1855</v>
      </c>
      <c r="R1" s="44" t="s">
        <v>1857</v>
      </c>
      <c r="S1" s="44" t="s">
        <v>1856</v>
      </c>
      <c r="T1" s="44" t="s">
        <v>5</v>
      </c>
      <c r="U1" s="44" t="str">
        <f>"Quantidade em 31/12/"&amp;B1</f>
        <v>Quantidade em 31/12/2021</v>
      </c>
      <c r="V1" s="48" t="str">
        <f>"Preço Médio em 31/12/"&amp;B1</f>
        <v>Preço Médio em 31/12/2021</v>
      </c>
      <c r="W1" s="46" t="s">
        <v>1860</v>
      </c>
      <c r="X1" s="44" t="s">
        <v>128</v>
      </c>
      <c r="Y1" s="44" t="s">
        <v>1864</v>
      </c>
      <c r="Z1" s="44" t="s">
        <v>1865</v>
      </c>
      <c r="AA1" s="44" t="s">
        <v>1866</v>
      </c>
      <c r="AB1" s="44" t="s">
        <v>1867</v>
      </c>
      <c r="AC1" s="44" t="s">
        <v>1868</v>
      </c>
      <c r="AD1" s="44" t="s">
        <v>1869</v>
      </c>
      <c r="AE1" s="44" t="s">
        <v>1870</v>
      </c>
      <c r="AF1" s="44" t="s">
        <v>1861</v>
      </c>
      <c r="AG1" s="47" t="str">
        <f>"Situação em 31/12/"&amp;(B1-1)</f>
        <v>Situação em 31/12/2020</v>
      </c>
      <c r="AH1" s="47" t="str">
        <f>"Situação em 31/12/"&amp;B1</f>
        <v>Situação em 31/12/2021</v>
      </c>
    </row>
    <row r="2" spans="1:34" x14ac:dyDescent="0.25">
      <c r="B2" s="3"/>
      <c r="C2" s="3"/>
      <c r="E2" t="str" cm="1">
        <f t="array" ref="E2:F19">_xlfn.UNIQUE(_xlfn.ANCHORARRAY(Opções!D2))</f>
        <v>AAPL34</v>
      </c>
      <c r="F2" t="str">
        <v>BDR</v>
      </c>
      <c r="G2" t="str" cm="1">
        <f t="array" ref="G2">IF(E2="","",TRANSPOSE(_xlfn.UNIQUE(_xlfn._xlws.FILTER(TabelaMovimentacoes[Conta],(TabelaMovimentacoes[Descrição]=E2)+(TabelaMovimentacoes[Descrição]=E2&amp;".N")))))</f>
        <v>ABCD</v>
      </c>
      <c r="J2" cm="1">
        <f t="array" ref="J2:J19">ROUND(SUMIFS(TabelaMovimentacoes[Quantidade],TabelaMovimentacoes[Descrição],INDEX(_xlfn.ANCHORARRAY(E2),0,1),TabelaMovimentacoes[Tipo],INDEX(_xlfn.ANCHORARRAY(E2),0,2),TabelaMovimentacoes[Data Liquidação],"&lt;="&amp;DATE($B$1-1,12,31))
+
SUMIFS(TabelaMovimentacoes[Quantidade],TabelaMovimentacoes[Descrição],INDEX(_xlfn.ANCHORARRAY(E2),0,1)&amp;".N",TabelaMovimentacoes[Tipo],INDEX(_xlfn.ANCHORARRAY(E2),0,2),TabelaMovimentacoes[Data Liquidação],"&lt;="&amp;DATE($B$1-1,12,31)),0)</f>
        <v>0</v>
      </c>
      <c r="K2" s="2" cm="1">
        <f t="array" ref="K2:K19">-ROUND(SUMIFS(TabelaMovimentacoes[Valor],TabelaMovimentacoes[Descrição],INDEX(_xlfn.ANCHORARRAY(E2),0,1),TabelaMovimentacoes[Tipo],INDEX(_xlfn.ANCHORARRAY(E2),0,2),TabelaMovimentacoes[Data Liquidação],"&lt;="&amp;DATE($B$1-1,12,31))
+
SUMIFS(TabelaMovimentacoes[Valor],TabelaMovimentacoes[Descrição],INDEX(_xlfn.ANCHORARRAY(E2),0,1),TabelaMovimentacoes[Tipo],INDEX(_xlfn.ANCHORARRAY(E2),0,2)&amp;".N",TabelaMovimentacoes[Data Liquidação],"&lt;="&amp;DATE($B$1-1,12,31)),2)</f>
        <v>0</v>
      </c>
      <c r="L2" cm="1">
        <f t="array" ref="L2:L19">ROUND(SUMIFS(TabelaMovimentacoes[Quantidade],TabelaMovimentacoes[Descrição],INDEX(_xlfn.ANCHORARRAY(E2),0,1),TabelaMovimentacoes[Tipo],INDEX(_xlfn.ANCHORARRAY(E2),0,2),TabelaMovimentacoes[Data Liquidação],"&lt;="&amp;DATE($B$1,12,31))
+
SUMIFS(TabelaMovimentacoes[Quantidade],TabelaMovimentacoes[Descrição],INDEX(_xlfn.ANCHORARRAY(E2),0,1)&amp;".N",TabelaMovimentacoes[Tipo],INDEX(_xlfn.ANCHORARRAY(E2),0,2),TabelaMovimentacoes[Data Liquidação],"&lt;="&amp;DATE($B$1,12,31)),0)</f>
        <v>15</v>
      </c>
      <c r="M2" s="2" cm="1">
        <f t="array" ref="M2:M19">-ROUND(SUMIFS(TabelaMovimentacoes[Valor],TabelaMovimentacoes[Descrição],INDEX(_xlfn.ANCHORARRAY(E2),0,1),TabelaMovimentacoes[Tipo],INDEX(_xlfn.ANCHORARRAY(E2),0,2),TabelaMovimentacoes[Data Liquidação],"&lt;="&amp;DATE($B$1,12,31))
+
SUMIFS(TabelaMovimentacoes[Valor],TabelaMovimentacoes[Descrição],INDEX(_xlfn.ANCHORARRAY(E2),0,1)&amp;".N",TabelaMovimentacoes[Tipo],INDEX(_xlfn.ANCHORARRAY(E2),0,2),TabelaMovimentacoes[Data Liquidação],"&lt;="&amp;DATE($B$1,12,31)),2)</f>
        <v>992.05</v>
      </c>
      <c r="N2" t="str" cm="1">
        <f t="array" ref="N2:N19">IF(_xlfn.ANCHORARRAY(J2)+_xlfn.ANCHORARRAY(L2)&gt;0,"Sim","Não")</f>
        <v>Sim</v>
      </c>
      <c r="P2" s="3" t="str" cm="1">
        <f t="array" ref="P2:P15">_xlfn._xlws.FILTER(INDEX(_xlfn.ANCHORARRAY(E2),0,1),_xlfn.ANCHORARRAY(N2)="Sim","Sem nenhum ativo")</f>
        <v>AAPL34</v>
      </c>
      <c r="Q2" s="3" t="str" cm="1">
        <f t="array" ref="Q2:Q15">IF(P2="Sem nenhum ativo","",VLOOKUP(_xlfn.ANCHORARRAY(P2),E:I,3,0))</f>
        <v>ABCD</v>
      </c>
      <c r="R2" s="3" cm="1">
        <f t="array" ref="R2:R15">IF(P2="Sem nenhum ativo","",VLOOKUP(_xlfn.ANCHORARRAY(P2),E:I,4,0))</f>
        <v>0</v>
      </c>
      <c r="S2" s="3" cm="1">
        <f t="array" ref="S2:S15">IF(P2="Sem nenhum ativo","",VLOOKUP(_xlfn.ANCHORARRAY(P2),E:I,5,0))</f>
        <v>0</v>
      </c>
      <c r="T2" s="3" t="str" cm="1">
        <f t="array" ref="T2:T15">IF(P2="Sem nenhum ativo","",VLOOKUP(_xlfn.ANCHORARRAY(P2),E:F,2,0))</f>
        <v>BDR</v>
      </c>
      <c r="U2" s="3" cm="1">
        <f t="array" ref="U2:U15">IF(P2="Sem nenhum ativo","",VLOOKUP(_xlfn.ANCHORARRAY(P2),E:M,8,0))</f>
        <v>15</v>
      </c>
      <c r="V2" s="4" cm="1">
        <f t="array" ref="V2:V15">IF(P2="Sem nenhum ativo","",IFERROR(VLOOKUP(_xlfn.ANCHORARRAY(P2),E:M,9,0)/_xlfn.ANCHORARRAY(U2),0))</f>
        <v>66.13666666666667</v>
      </c>
      <c r="W2" s="3" cm="1">
        <f t="array" ref="W2:W15">IF(P2="Sem nenhum ativo","",IF(_xlfn.ANCHORARRAY(T2)="Ação",31,IF(_xlfn.ANCHORARRAY(T2)="BDR",49,IF(_xlfn.ANCHORARRAY(T2)="FII",73,IF(_xlfn.ANCHORARRAY(T2)="ETF",74,47)))))</f>
        <v>49</v>
      </c>
      <c r="X2" s="3" t="str" cm="1">
        <f t="array" ref="X2:X15">IF(P2="Sem nenhum ativo","",IF(VLOOKUP(_xlfn.ANCHORARRAY(P2),'Empresas Listadas'!A:B,2,0)="","",VLOOKUP(_xlfn.ANCHORARRAY(P2),'Empresas Listadas'!A:B,2,0)))</f>
        <v/>
      </c>
      <c r="Y2" s="3" t="str" cm="1">
        <f t="array" ref="Y2:Y15">IF(P2="Sem nenhum ativo","",_xlfn.ANCHORARRAY(U2)&amp;IF(_xlfn.ANCHORARRAY(T2)="Ação"," Ações de "," Cotas de "))</f>
        <v xml:space="preserve">15 Cotas de </v>
      </c>
      <c r="Z2" s="3" t="str" cm="1">
        <f t="array" ref="Z2:Z15">IF(P2="Sem nenhum ativo","",VLOOKUP(_xlfn.ANCHORARRAY(P2),'Empresas Listadas'!A:C,3,0))</f>
        <v>APPLE INC.</v>
      </c>
      <c r="AA2" s="3" t="str" cm="1">
        <f t="array" ref="AA2:AA15">IF(P2="Sem nenhum ativo",""," ao custo de R$ "&amp;TEXT(_xlfn.ANCHORARRAY(V2),"0,0000")&amp;" cada - ")</f>
        <v xml:space="preserve"> ao custo de R$ 66,1367 cada - </v>
      </c>
      <c r="AB2" s="3" t="str" cm="1">
        <f t="array" ref="AB2:AB15">IF(P2="Sem nenhum ativo","","Ticker: "&amp;_xlfn.ANCHORARRAY(P2)&amp;" - ")</f>
        <v xml:space="preserve">Ticker: AAPL34 - </v>
      </c>
      <c r="AC2" s="3" t="str" cm="1">
        <f t="array" ref="AC2:AC15">IF(P2="Sem nenhum ativo","",IF(_xlfn.ANCHORARRAY(R2)=0,"Custodiadas na corretora: ","Custodiadas nas corretoras: ")&amp;VLOOKUP(_xlfn.ANCHORARRAY(Q2),A:B,2,0)&amp;" - CNPJ: "&amp;VLOOKUP(_xlfn.ANCHORARRAY(Q2),A:C,3,0))</f>
        <v>Custodiadas na corretora: ABCD S.A. - CNPJ: 12.345.678/0001-00</v>
      </c>
      <c r="AD2" s="3" t="str" cm="1">
        <f t="array" ref="AD2:AD15">IF(P2="Sem nenhum ativo","",IF(_xlfn.ANCHORARRAY(R2)&lt;&gt;0," e "&amp;VLOOKUP(_xlfn.ANCHORARRAY(R2),A:B,2,0)&amp;" - CNPJ: "&amp;VLOOKUP(_xlfn.ANCHORARRAY(R2),A:C,3,0),""))</f>
        <v/>
      </c>
      <c r="AE2" s="3" t="str" cm="1">
        <f t="array" ref="AE2:AE15">IF(P2="Sem nenhum ativo","",IF(_xlfn.ANCHORARRAY(S2)&lt;&gt;0," e "&amp;VLOOKUP(_xlfn.ANCHORARRAY(S2),A:B,2,0)&amp;" - CNPJ: "&amp;VLOOKUP(_xlfn.ANCHORARRAY(S2),A:C,3,0),""))</f>
        <v/>
      </c>
      <c r="AF2" s="43" t="str" cm="1">
        <f t="array" ref="AF2:AF15">IF(P2="Sem nenhum ativo","",_xlfn.ANCHORARRAY(Y2)&amp;_xlfn.ANCHORARRAY(Z2)&amp;_xlfn.ANCHORARRAY(AA2)&amp;_xlfn.ANCHORARRAY(AB2)&amp;_xlfn.ANCHORARRAY(AC2)&amp;_xlfn.ANCHORARRAY(AD2)&amp;_xlfn.ANCHORARRAY(AE2))</f>
        <v>15 Cotas de APPLE INC. ao custo de R$ 66,1367 cada - Ticker: AAPL34 - Custodiadas na corretora: ABCD S.A. - CNPJ: 12.345.678/0001-00</v>
      </c>
      <c r="AG2" s="3" cm="1">
        <f t="array" ref="AG2:AG15">IF(P2="Sem nenhum ativo","",VLOOKUP(_xlfn.ANCHORARRAY(P2),E:M,7,0))</f>
        <v>0</v>
      </c>
      <c r="AH2" s="3" cm="1">
        <f t="array" ref="AH2:AH15">IF(P2="Sem nenhum ativo","",VLOOKUP(_xlfn.ANCHORARRAY(P2),E:M,9,0))</f>
        <v>992.05</v>
      </c>
    </row>
    <row r="3" spans="1:34" x14ac:dyDescent="0.25">
      <c r="A3" s="44" t="s">
        <v>0</v>
      </c>
      <c r="B3" s="44" t="s">
        <v>127</v>
      </c>
      <c r="C3" s="44" t="s">
        <v>128</v>
      </c>
      <c r="E3" t="str">
        <v>AESB3</v>
      </c>
      <c r="F3" t="str">
        <v>Ação</v>
      </c>
      <c r="G3" t="str" cm="1">
        <f t="array" ref="G3">IF(E3="","",TRANSPOSE(_xlfn.UNIQUE(_xlfn._xlws.FILTER(TabelaMovimentacoes[Conta],(TabelaMovimentacoes[Descrição]=E3)+(TabelaMovimentacoes[Descrição]=E3&amp;".N")))))</f>
        <v>ABCD</v>
      </c>
      <c r="J3">
        <v>85</v>
      </c>
      <c r="K3" s="2">
        <v>1249.8599999999999</v>
      </c>
      <c r="L3">
        <v>75</v>
      </c>
      <c r="M3" s="2">
        <v>1102.82</v>
      </c>
      <c r="N3" t="str">
        <v>Sim</v>
      </c>
      <c r="P3" s="3" t="str">
        <v>AESB3</v>
      </c>
      <c r="Q3" s="3" t="str">
        <v>ABCD</v>
      </c>
      <c r="R3" s="3">
        <v>0</v>
      </c>
      <c r="S3" s="3">
        <v>0</v>
      </c>
      <c r="T3" s="3" t="str">
        <v>Ação</v>
      </c>
      <c r="U3" s="3">
        <v>75</v>
      </c>
      <c r="V3" s="4">
        <v>14.704266666666665</v>
      </c>
      <c r="W3" s="3">
        <v>31</v>
      </c>
      <c r="X3" s="3" t="str">
        <v>37.663.076/0001-07</v>
      </c>
      <c r="Y3" s="3" t="str">
        <v xml:space="preserve">75 Ações de </v>
      </c>
      <c r="Z3" s="3" t="str">
        <v>AES BRASIL ENERGIA S.A.</v>
      </c>
      <c r="AA3" s="3" t="str">
        <v xml:space="preserve"> ao custo de R$ 14,7043 cada - </v>
      </c>
      <c r="AB3" s="3" t="str">
        <v xml:space="preserve">Ticker: AESB3 - </v>
      </c>
      <c r="AC3" s="3" t="str">
        <v>Custodiadas na corretora: ABCD S.A. - CNPJ: 12.345.678/0001-00</v>
      </c>
      <c r="AD3" s="3" t="str">
        <v/>
      </c>
      <c r="AE3" s="3" t="str">
        <v/>
      </c>
      <c r="AF3" s="43" t="str">
        <v>75 Ações de AES BRASIL ENERGIA S.A. ao custo de R$ 14,7043 cada - Ticker: AESB3 - Custodiadas na corretora: ABCD S.A. - CNPJ: 12.345.678/0001-00</v>
      </c>
      <c r="AG3" s="3">
        <v>1249.8599999999999</v>
      </c>
      <c r="AH3" s="3">
        <v>1102.82</v>
      </c>
    </row>
    <row r="4" spans="1:34" x14ac:dyDescent="0.25">
      <c r="A4" s="3" t="s">
        <v>24</v>
      </c>
      <c r="B4" s="3" t="s">
        <v>129</v>
      </c>
      <c r="C4" s="3" t="s">
        <v>130</v>
      </c>
      <c r="E4" t="str">
        <v>BBAS3</v>
      </c>
      <c r="F4" t="str">
        <v>Ação</v>
      </c>
      <c r="G4" t="str" cm="1">
        <f t="array" ref="G4">IF(E4="","",TRANSPOSE(_xlfn.UNIQUE(_xlfn._xlws.FILTER(TabelaMovimentacoes[Conta],(TabelaMovimentacoes[Descrição]=E4)+(TabelaMovimentacoes[Descrição]=E4&amp;".N")))))</f>
        <v>ABCD</v>
      </c>
      <c r="J4">
        <v>0</v>
      </c>
      <c r="K4" s="2">
        <v>0</v>
      </c>
      <c r="L4">
        <v>0</v>
      </c>
      <c r="M4" s="2">
        <v>0</v>
      </c>
      <c r="N4" t="str">
        <v>Não</v>
      </c>
      <c r="P4" s="3" t="str">
        <v>BBDC4</v>
      </c>
      <c r="Q4" s="3" t="str">
        <v>ABCD</v>
      </c>
      <c r="R4" s="3" t="str">
        <v>DCBA</v>
      </c>
      <c r="S4" s="3">
        <v>0</v>
      </c>
      <c r="T4" s="3" t="str">
        <v>Ação</v>
      </c>
      <c r="U4" s="3">
        <v>204</v>
      </c>
      <c r="V4" s="4">
        <v>18.173578431372547</v>
      </c>
      <c r="W4" s="3">
        <v>31</v>
      </c>
      <c r="X4" s="3" t="str">
        <v>60.746.930/0001-12</v>
      </c>
      <c r="Y4" s="3" t="str">
        <v xml:space="preserve">204 Ações de </v>
      </c>
      <c r="Z4" s="3" t="str">
        <v>BANCO BRADESCO S.A.</v>
      </c>
      <c r="AA4" s="3" t="str">
        <v xml:space="preserve"> ao custo de R$ 18,1736 cada - </v>
      </c>
      <c r="AB4" s="3" t="str">
        <v xml:space="preserve">Ticker: BBDC4 - </v>
      </c>
      <c r="AC4" s="3" t="str">
        <v>Custodiadas nas corretoras: ABCD S.A. - CNPJ: 12.345.678/0001-00</v>
      </c>
      <c r="AD4" s="3" t="str">
        <v xml:space="preserve"> e DCBA S.A. - CNPJ: 87.654.321/0001-00</v>
      </c>
      <c r="AE4" s="3" t="str">
        <v/>
      </c>
      <c r="AF4" s="43" t="str">
        <v>204 Ações de BANCO BRADESCO S.A. ao custo de R$ 18,1736 cada - Ticker: BBDC4 - Custodiadas nas corretoras: ABCD S.A. - CNPJ: 12.345.678/0001-00 e DCBA S.A. - CNPJ: 87.654.321/0001-00</v>
      </c>
      <c r="AG4" s="3">
        <v>2374.31</v>
      </c>
      <c r="AH4" s="3">
        <v>3707.41</v>
      </c>
    </row>
    <row r="5" spans="1:34" x14ac:dyDescent="0.25">
      <c r="A5" s="3" t="s">
        <v>39</v>
      </c>
      <c r="B5" s="3" t="s">
        <v>1858</v>
      </c>
      <c r="C5" s="3" t="s">
        <v>1859</v>
      </c>
      <c r="E5" t="str">
        <v>BBDC4</v>
      </c>
      <c r="F5" t="str">
        <v>Ação</v>
      </c>
      <c r="G5" t="str" cm="1">
        <f t="array" ref="G5:H5">IF(E5="","",TRANSPOSE(_xlfn.UNIQUE(_xlfn._xlws.FILTER(TabelaMovimentacoes[Conta],(TabelaMovimentacoes[Descrição]=E5)+(TabelaMovimentacoes[Descrição]=E5&amp;".N")))))</f>
        <v>ABCD</v>
      </c>
      <c r="H5" t="str">
        <v>DCBA</v>
      </c>
      <c r="J5">
        <v>140</v>
      </c>
      <c r="K5" s="2">
        <v>2374.31</v>
      </c>
      <c r="L5">
        <v>204</v>
      </c>
      <c r="M5" s="2">
        <v>3707.41</v>
      </c>
      <c r="N5" t="str">
        <v>Sim</v>
      </c>
      <c r="P5" s="3" t="str">
        <v>BOVA11</v>
      </c>
      <c r="Q5" s="3" t="str">
        <v>DCBA</v>
      </c>
      <c r="R5" s="3">
        <v>0</v>
      </c>
      <c r="S5" s="3">
        <v>0</v>
      </c>
      <c r="T5" s="3" t="str">
        <v>ETF</v>
      </c>
      <c r="U5" s="3">
        <v>18</v>
      </c>
      <c r="V5" s="4">
        <v>121.98055555555555</v>
      </c>
      <c r="W5" s="3">
        <v>74</v>
      </c>
      <c r="X5" s="3" t="str">
        <v>01.522.368/0001-82</v>
      </c>
      <c r="Y5" s="3" t="str">
        <v xml:space="preserve">18 Cotas de </v>
      </c>
      <c r="Z5" s="3" t="str">
        <v>ISHARES IBOVESPA FUNDO DE ÍNDICE (BOVA11 )</v>
      </c>
      <c r="AA5" s="3" t="str">
        <v xml:space="preserve"> ao custo de R$ 121,9806 cada - </v>
      </c>
      <c r="AB5" s="3" t="str">
        <v xml:space="preserve">Ticker: BOVA11 - </v>
      </c>
      <c r="AC5" s="3" t="str">
        <v>Custodiadas na corretora: DCBA S.A. - CNPJ: 87.654.321/0001-00</v>
      </c>
      <c r="AD5" s="3" t="str">
        <v/>
      </c>
      <c r="AE5" s="3" t="str">
        <v/>
      </c>
      <c r="AF5" s="43" t="str">
        <v>18 Cotas de ISHARES IBOVESPA FUNDO DE ÍNDICE (BOVA11 ) ao custo de R$ 121,9806 cada - Ticker: BOVA11 - Custodiadas na corretora: DCBA S.A. - CNPJ: 87.654.321/0001-00</v>
      </c>
      <c r="AG5" s="3">
        <v>0</v>
      </c>
      <c r="AH5" s="3">
        <v>2195.65</v>
      </c>
    </row>
    <row r="6" spans="1:34" x14ac:dyDescent="0.25">
      <c r="E6" t="str">
        <v>BOVA11</v>
      </c>
      <c r="F6" t="str">
        <v>ETF</v>
      </c>
      <c r="G6" t="str" cm="1">
        <f t="array" ref="G6">IF(E6="","",TRANSPOSE(_xlfn.UNIQUE(_xlfn._xlws.FILTER(TabelaMovimentacoes[Conta],(TabelaMovimentacoes[Descrição]=E6)+(TabelaMovimentacoes[Descrição]=E6&amp;".N")))))</f>
        <v>DCBA</v>
      </c>
      <c r="J6">
        <v>0</v>
      </c>
      <c r="K6" s="2">
        <v>0</v>
      </c>
      <c r="L6">
        <v>18</v>
      </c>
      <c r="M6" s="2">
        <v>2195.65</v>
      </c>
      <c r="N6" t="str">
        <v>Sim</v>
      </c>
      <c r="P6" s="3" t="str">
        <v>BRCR11</v>
      </c>
      <c r="Q6" s="3" t="str">
        <v>ABCD</v>
      </c>
      <c r="R6" s="3">
        <v>0</v>
      </c>
      <c r="S6" s="3">
        <v>0</v>
      </c>
      <c r="T6" s="3" t="str">
        <v>FII</v>
      </c>
      <c r="U6" s="3">
        <v>50</v>
      </c>
      <c r="V6" s="4">
        <v>98.190400000000011</v>
      </c>
      <c r="W6" s="3">
        <v>73</v>
      </c>
      <c r="X6" s="3" t="str">
        <v>08.924.783/0001-01</v>
      </c>
      <c r="Y6" s="3" t="str">
        <v xml:space="preserve">50 Cotas de </v>
      </c>
      <c r="Z6" s="3" t="str">
        <v>BTG Pactual Corporate Office</v>
      </c>
      <c r="AA6" s="3" t="str">
        <v xml:space="preserve"> ao custo de R$ 98,1904 cada - </v>
      </c>
      <c r="AB6" s="3" t="str">
        <v xml:space="preserve">Ticker: BRCR11 - </v>
      </c>
      <c r="AC6" s="3" t="str">
        <v>Custodiadas na corretora: ABCD S.A. - CNPJ: 12.345.678/0001-00</v>
      </c>
      <c r="AD6" s="3" t="str">
        <v/>
      </c>
      <c r="AE6" s="3" t="str">
        <v/>
      </c>
      <c r="AF6" s="43" t="str">
        <v>50 Cotas de BTG Pactual Corporate Office ao custo de R$ 98,1904 cada - Ticker: BRCR11 - Custodiadas na corretora: ABCD S.A. - CNPJ: 12.345.678/0001-00</v>
      </c>
      <c r="AG6" s="3">
        <v>0</v>
      </c>
      <c r="AH6" s="3">
        <v>4909.5200000000004</v>
      </c>
    </row>
    <row r="7" spans="1:34" x14ac:dyDescent="0.25">
      <c r="E7" t="str">
        <v>BPAN4</v>
      </c>
      <c r="F7" t="str">
        <v>Ação</v>
      </c>
      <c r="G7" t="str" cm="1">
        <f t="array" ref="G7">IF(E7="","",TRANSPOSE(_xlfn.UNIQUE(_xlfn._xlws.FILTER(TabelaMovimentacoes[Conta],(TabelaMovimentacoes[Descrição]=E7)+(TabelaMovimentacoes[Descrição]=E7&amp;".N")))))</f>
        <v>ABCD</v>
      </c>
      <c r="J7">
        <v>0</v>
      </c>
      <c r="K7" s="2">
        <v>0</v>
      </c>
      <c r="L7">
        <v>0</v>
      </c>
      <c r="M7" s="2">
        <v>0</v>
      </c>
      <c r="N7" t="str">
        <v>Não</v>
      </c>
      <c r="P7" s="3" t="str">
        <v>CASH3</v>
      </c>
      <c r="Q7" s="3" t="str">
        <v>ABCD</v>
      </c>
      <c r="R7" s="3">
        <v>0</v>
      </c>
      <c r="S7" s="3">
        <v>0</v>
      </c>
      <c r="T7" s="3" t="str">
        <v>Ação</v>
      </c>
      <c r="U7" s="3">
        <v>64</v>
      </c>
      <c r="V7" s="4">
        <v>25.977968749999999</v>
      </c>
      <c r="W7" s="3">
        <v>31</v>
      </c>
      <c r="X7" s="3" t="str">
        <v>14.110.585/0001-07</v>
      </c>
      <c r="Y7" s="3" t="str">
        <v xml:space="preserve">64 Ações de </v>
      </c>
      <c r="Z7" s="3" t="str">
        <v>MÉLIUZ S.A.</v>
      </c>
      <c r="AA7" s="3" t="str">
        <v xml:space="preserve"> ao custo de R$ 25,9780 cada - </v>
      </c>
      <c r="AB7" s="3" t="str">
        <v xml:space="preserve">Ticker: CASH3 - </v>
      </c>
      <c r="AC7" s="3" t="str">
        <v>Custodiadas na corretora: ABCD S.A. - CNPJ: 12.345.678/0001-00</v>
      </c>
      <c r="AD7" s="3" t="str">
        <v/>
      </c>
      <c r="AE7" s="3" t="str">
        <v/>
      </c>
      <c r="AF7" s="43" t="str">
        <v>64 Ações de MÉLIUZ S.A. ao custo de R$ 25,9780 cada - Ticker: CASH3 - Custodiadas na corretora: ABCD S.A. - CNPJ: 12.345.678/0001-00</v>
      </c>
      <c r="AG7" s="3">
        <v>0</v>
      </c>
      <c r="AH7" s="3">
        <v>1662.59</v>
      </c>
    </row>
    <row r="8" spans="1:34" x14ac:dyDescent="0.25">
      <c r="E8" t="str">
        <v>BRCR11</v>
      </c>
      <c r="F8" t="str">
        <v>FII</v>
      </c>
      <c r="G8" t="str" cm="1">
        <f t="array" ref="G8">IF(E8="","",TRANSPOSE(_xlfn.UNIQUE(_xlfn._xlws.FILTER(TabelaMovimentacoes[Conta],(TabelaMovimentacoes[Descrição]=E8)+(TabelaMovimentacoes[Descrição]=E8&amp;".N")))))</f>
        <v>ABCD</v>
      </c>
      <c r="J8">
        <v>0</v>
      </c>
      <c r="K8" s="2">
        <v>0</v>
      </c>
      <c r="L8">
        <v>50</v>
      </c>
      <c r="M8" s="2">
        <v>4909.5200000000004</v>
      </c>
      <c r="N8" t="str">
        <v>Sim</v>
      </c>
      <c r="P8" s="3" t="str">
        <v>HGLG11</v>
      </c>
      <c r="Q8" s="3" t="str">
        <v>ABCD</v>
      </c>
      <c r="R8" s="3">
        <v>0</v>
      </c>
      <c r="S8" s="3">
        <v>0</v>
      </c>
      <c r="T8" s="3" t="str">
        <v>FII</v>
      </c>
      <c r="U8" s="3">
        <v>25</v>
      </c>
      <c r="V8" s="4">
        <v>169.80200000000002</v>
      </c>
      <c r="W8" s="3">
        <v>73</v>
      </c>
      <c r="X8" s="3" t="str">
        <v>11.728.688/0001-47</v>
      </c>
      <c r="Y8" s="3" t="str">
        <v xml:space="preserve">25 Cotas de </v>
      </c>
      <c r="Z8" s="3" t="str">
        <v>CSHG Logística</v>
      </c>
      <c r="AA8" s="3" t="str">
        <v xml:space="preserve"> ao custo de R$ 169,8020 cada - </v>
      </c>
      <c r="AB8" s="3" t="str">
        <v xml:space="preserve">Ticker: HGLG11 - </v>
      </c>
      <c r="AC8" s="3" t="str">
        <v>Custodiadas na corretora: ABCD S.A. - CNPJ: 12.345.678/0001-00</v>
      </c>
      <c r="AD8" s="3" t="str">
        <v/>
      </c>
      <c r="AE8" s="3" t="str">
        <v/>
      </c>
      <c r="AF8" s="43" t="str">
        <v>25 Cotas de CSHG Logística ao custo de R$ 169,8020 cada - Ticker: HGLG11 - Custodiadas na corretora: ABCD S.A. - CNPJ: 12.345.678/0001-00</v>
      </c>
      <c r="AG8" s="3">
        <v>0</v>
      </c>
      <c r="AH8" s="3">
        <v>4245.05</v>
      </c>
    </row>
    <row r="9" spans="1:34" x14ac:dyDescent="0.25">
      <c r="E9" t="str">
        <v>CASH3</v>
      </c>
      <c r="F9" t="str">
        <v>Ação</v>
      </c>
      <c r="G9" t="str" cm="1">
        <f t="array" ref="G9">IF(E9="","",TRANSPOSE(_xlfn.UNIQUE(_xlfn._xlws.FILTER(TabelaMovimentacoes[Conta],(TabelaMovimentacoes[Descrição]=E9)+(TabelaMovimentacoes[Descrição]=E9&amp;".N")))))</f>
        <v>ABCD</v>
      </c>
      <c r="J9">
        <v>0</v>
      </c>
      <c r="K9" s="2">
        <v>0</v>
      </c>
      <c r="L9">
        <v>64</v>
      </c>
      <c r="M9" s="2">
        <v>1662.59</v>
      </c>
      <c r="N9" t="str">
        <v>Sim</v>
      </c>
      <c r="P9" s="3" t="str">
        <v>ITUB4</v>
      </c>
      <c r="Q9" s="3" t="str">
        <v>ABCD</v>
      </c>
      <c r="R9" s="3">
        <v>0</v>
      </c>
      <c r="S9" s="3">
        <v>0</v>
      </c>
      <c r="T9" s="3" t="str">
        <v>Ação</v>
      </c>
      <c r="U9" s="3">
        <v>115</v>
      </c>
      <c r="V9" s="4">
        <v>17.914173913043481</v>
      </c>
      <c r="W9" s="3">
        <v>31</v>
      </c>
      <c r="X9" s="3" t="str">
        <v>60.872.504/0001-23</v>
      </c>
      <c r="Y9" s="3" t="str">
        <v xml:space="preserve">115 Ações de </v>
      </c>
      <c r="Z9" s="3" t="str">
        <v>ITAÚ UNIBANCO HOLDING S.A.</v>
      </c>
      <c r="AA9" s="3" t="str">
        <v xml:space="preserve"> ao custo de R$ 17,9142 cada - </v>
      </c>
      <c r="AB9" s="3" t="str">
        <v xml:space="preserve">Ticker: ITUB4 - </v>
      </c>
      <c r="AC9" s="3" t="str">
        <v>Custodiadas na corretora: ABCD S.A. - CNPJ: 12.345.678/0001-00</v>
      </c>
      <c r="AD9" s="3" t="str">
        <v/>
      </c>
      <c r="AE9" s="3" t="str">
        <v/>
      </c>
      <c r="AF9" s="43" t="str">
        <v>115 Ações de ITAÚ UNIBANCO HOLDING S.A. ao custo de R$ 17,9142 cada - Ticker: ITUB4 - Custodiadas na corretora: ABCD S.A. - CNPJ: 12.345.678/0001-00</v>
      </c>
      <c r="AG9" s="3">
        <v>0</v>
      </c>
      <c r="AH9" s="3">
        <v>2060.13</v>
      </c>
    </row>
    <row r="10" spans="1:34" x14ac:dyDescent="0.25">
      <c r="E10" t="str">
        <v>HGLG11</v>
      </c>
      <c r="F10" t="str">
        <v>FII</v>
      </c>
      <c r="G10" t="str" cm="1">
        <f t="array" ref="G10">IF(E10="","",TRANSPOSE(_xlfn.UNIQUE(_xlfn._xlws.FILTER(TabelaMovimentacoes[Conta],(TabelaMovimentacoes[Descrição]=E10)+(TabelaMovimentacoes[Descrição]=E10&amp;".N")))))</f>
        <v>ABCD</v>
      </c>
      <c r="J10">
        <v>0</v>
      </c>
      <c r="K10" s="2">
        <v>0</v>
      </c>
      <c r="L10">
        <v>25</v>
      </c>
      <c r="M10" s="2">
        <v>4245.05</v>
      </c>
      <c r="N10" t="str">
        <v>Sim</v>
      </c>
      <c r="P10" s="3" t="str">
        <v>MGLU3</v>
      </c>
      <c r="Q10" s="3" t="str">
        <v>ABCD</v>
      </c>
      <c r="R10" s="3">
        <v>0</v>
      </c>
      <c r="S10" s="3">
        <v>0</v>
      </c>
      <c r="T10" s="3" t="str">
        <v>Ação</v>
      </c>
      <c r="U10" s="3">
        <v>0</v>
      </c>
      <c r="V10" s="4">
        <v>0</v>
      </c>
      <c r="W10" s="3">
        <v>31</v>
      </c>
      <c r="X10" s="3" t="str">
        <v>47.960.950/0001-21</v>
      </c>
      <c r="Y10" s="3" t="str">
        <v xml:space="preserve">0 Ações de </v>
      </c>
      <c r="Z10" s="3" t="str">
        <v>MAGAZINE LUIZA SA</v>
      </c>
      <c r="AA10" s="3" t="str">
        <v xml:space="preserve"> ao custo de R$ 0,0000 cada - </v>
      </c>
      <c r="AB10" s="3" t="str">
        <v xml:space="preserve">Ticker: MGLU3 - </v>
      </c>
      <c r="AC10" s="3" t="str">
        <v>Custodiadas na corretora: ABCD S.A. - CNPJ: 12.345.678/0001-00</v>
      </c>
      <c r="AD10" s="3" t="str">
        <v/>
      </c>
      <c r="AE10" s="3" t="str">
        <v/>
      </c>
      <c r="AF10" s="43" t="str">
        <v>0 Ações de MAGAZINE LUIZA SA ao custo de R$ 0,0000 cada - Ticker: MGLU3 - Custodiadas na corretora: ABCD S.A. - CNPJ: 12.345.678/0001-00</v>
      </c>
      <c r="AG10" s="3">
        <v>2298.5500000000002</v>
      </c>
      <c r="AH10" s="3">
        <v>0</v>
      </c>
    </row>
    <row r="11" spans="1:34" x14ac:dyDescent="0.25">
      <c r="E11" t="str">
        <v>ITUB4</v>
      </c>
      <c r="F11" t="str">
        <v>Ação</v>
      </c>
      <c r="G11" t="str" cm="1">
        <f t="array" ref="G11">IF(E11="","",TRANSPOSE(_xlfn.UNIQUE(_xlfn._xlws.FILTER(TabelaMovimentacoes[Conta],(TabelaMovimentacoes[Descrição]=E11)+(TabelaMovimentacoes[Descrição]=E11&amp;".N")))))</f>
        <v>ABCD</v>
      </c>
      <c r="J11">
        <v>0</v>
      </c>
      <c r="K11" s="2">
        <v>0</v>
      </c>
      <c r="L11">
        <v>115</v>
      </c>
      <c r="M11" s="2">
        <v>2060.13</v>
      </c>
      <c r="N11" t="str">
        <v>Sim</v>
      </c>
      <c r="P11" s="3" t="str">
        <v>MSFT34</v>
      </c>
      <c r="Q11" s="3" t="str">
        <v>ABCD</v>
      </c>
      <c r="R11" s="3">
        <v>0</v>
      </c>
      <c r="S11" s="3">
        <v>0</v>
      </c>
      <c r="T11" s="3" t="str">
        <v>BDR</v>
      </c>
      <c r="U11" s="3">
        <v>15</v>
      </c>
      <c r="V11" s="4">
        <v>59.234666666666662</v>
      </c>
      <c r="W11" s="3">
        <v>49</v>
      </c>
      <c r="X11" s="3" t="str">
        <v/>
      </c>
      <c r="Y11" s="3" t="str">
        <v xml:space="preserve">15 Cotas de </v>
      </c>
      <c r="Z11" s="3" t="str">
        <v>MICROSOFT CORPORATION</v>
      </c>
      <c r="AA11" s="3" t="str">
        <v xml:space="preserve"> ao custo de R$ 59,2347 cada - </v>
      </c>
      <c r="AB11" s="3" t="str">
        <v xml:space="preserve">Ticker: MSFT34 - </v>
      </c>
      <c r="AC11" s="3" t="str">
        <v>Custodiadas na corretora: ABCD S.A. - CNPJ: 12.345.678/0001-00</v>
      </c>
      <c r="AD11" s="3" t="str">
        <v/>
      </c>
      <c r="AE11" s="3" t="str">
        <v/>
      </c>
      <c r="AF11" s="43" t="str">
        <v>15 Cotas de MICROSOFT CORPORATION ao custo de R$ 59,2347 cada - Ticker: MSFT34 - Custodiadas na corretora: ABCD S.A. - CNPJ: 12.345.678/0001-00</v>
      </c>
      <c r="AG11" s="3">
        <v>0</v>
      </c>
      <c r="AH11" s="3">
        <v>888.52</v>
      </c>
    </row>
    <row r="12" spans="1:34" x14ac:dyDescent="0.25">
      <c r="E12" t="str">
        <v>MGLU3</v>
      </c>
      <c r="F12" t="str">
        <v>Ação</v>
      </c>
      <c r="G12" t="str" cm="1">
        <f t="array" ref="G12">IF(E12="","",TRANSPOSE(_xlfn.UNIQUE(_xlfn._xlws.FILTER(TabelaMovimentacoes[Conta],(TabelaMovimentacoes[Descrição]=E12)+(TabelaMovimentacoes[Descrição]=E12&amp;".N")))))</f>
        <v>ABCD</v>
      </c>
      <c r="J12">
        <v>100</v>
      </c>
      <c r="K12" s="2">
        <v>2298.5500000000002</v>
      </c>
      <c r="L12">
        <v>0</v>
      </c>
      <c r="M12" s="2">
        <v>0</v>
      </c>
      <c r="N12" t="str">
        <v>Sim</v>
      </c>
      <c r="P12" s="3" t="str">
        <v>PETR4</v>
      </c>
      <c r="Q12" s="3" t="str">
        <v>ABCD</v>
      </c>
      <c r="R12" s="3">
        <v>0</v>
      </c>
      <c r="S12" s="3">
        <v>0</v>
      </c>
      <c r="T12" s="3" t="str">
        <v>Ação</v>
      </c>
      <c r="U12" s="3">
        <v>49</v>
      </c>
      <c r="V12" s="4">
        <v>22.806938775510204</v>
      </c>
      <c r="W12" s="3">
        <v>31</v>
      </c>
      <c r="X12" s="3" t="str">
        <v>33.000.167/0001-01</v>
      </c>
      <c r="Y12" s="3" t="str">
        <v xml:space="preserve">49 Ações de </v>
      </c>
      <c r="Z12" s="3" t="str">
        <v>PETRÓLEO BRASILEIRO  S.A.  – PETROBRAS</v>
      </c>
      <c r="AA12" s="3" t="str">
        <v xml:space="preserve"> ao custo de R$ 22,8069 cada - </v>
      </c>
      <c r="AB12" s="3" t="str">
        <v xml:space="preserve">Ticker: PETR4 - </v>
      </c>
      <c r="AC12" s="3" t="str">
        <v>Custodiadas na corretora: ABCD S.A. - CNPJ: 12.345.678/0001-00</v>
      </c>
      <c r="AD12" s="3" t="str">
        <v/>
      </c>
      <c r="AE12" s="3" t="str">
        <v/>
      </c>
      <c r="AF12" s="43" t="str">
        <v>49 Ações de PETRÓLEO BRASILEIRO  S.A.  – PETROBRAS ao custo de R$ 22,8069 cada - Ticker: PETR4 - Custodiadas na corretora: ABCD S.A. - CNPJ: 12.345.678/0001-00</v>
      </c>
      <c r="AG12" s="3">
        <v>0</v>
      </c>
      <c r="AH12" s="3">
        <v>1117.54</v>
      </c>
    </row>
    <row r="13" spans="1:34" x14ac:dyDescent="0.25">
      <c r="E13" t="str">
        <v>MSFT34</v>
      </c>
      <c r="F13" t="str">
        <v>BDR</v>
      </c>
      <c r="G13" t="str" cm="1">
        <f t="array" ref="G13">IF(E13="","",TRANSPOSE(_xlfn.UNIQUE(_xlfn._xlws.FILTER(TabelaMovimentacoes[Conta],(TabelaMovimentacoes[Descrição]=E13)+(TabelaMovimentacoes[Descrição]=E13&amp;".N")))))</f>
        <v>ABCD</v>
      </c>
      <c r="J13">
        <v>0</v>
      </c>
      <c r="K13" s="2">
        <v>0</v>
      </c>
      <c r="L13">
        <v>15</v>
      </c>
      <c r="M13" s="2">
        <v>888.52</v>
      </c>
      <c r="N13" t="str">
        <v>Sim</v>
      </c>
      <c r="P13" s="3" t="str">
        <v>PRNR3</v>
      </c>
      <c r="Q13" s="3" t="str">
        <v>ABCD</v>
      </c>
      <c r="R13" s="3">
        <v>0</v>
      </c>
      <c r="S13" s="3">
        <v>0</v>
      </c>
      <c r="T13" s="3" t="str">
        <v>Ação</v>
      </c>
      <c r="U13" s="3">
        <v>500</v>
      </c>
      <c r="V13" s="4">
        <v>12.93</v>
      </c>
      <c r="W13" s="3">
        <v>31</v>
      </c>
      <c r="X13" s="3" t="str">
        <v>18.593.815/0001-97</v>
      </c>
      <c r="Y13" s="3" t="str">
        <v xml:space="preserve">500 Ações de </v>
      </c>
      <c r="Z13" s="3" t="str">
        <v>PRINER SERVIÇOS INDUSTRIAIS S.A.</v>
      </c>
      <c r="AA13" s="3" t="str">
        <v xml:space="preserve"> ao custo de R$ 12,9300 cada - </v>
      </c>
      <c r="AB13" s="3" t="str">
        <v xml:space="preserve">Ticker: PRNR3 - </v>
      </c>
      <c r="AC13" s="3" t="str">
        <v>Custodiadas na corretora: ABCD S.A. - CNPJ: 12.345.678/0001-00</v>
      </c>
      <c r="AD13" s="3" t="str">
        <v/>
      </c>
      <c r="AE13" s="3" t="str">
        <v/>
      </c>
      <c r="AF13" s="43" t="str">
        <v>500 Ações de PRINER SERVIÇOS INDUSTRIAIS S.A. ao custo de R$ 12,9300 cada - Ticker: PRNR3 - Custodiadas na corretora: ABCD S.A. - CNPJ: 12.345.678/0001-00</v>
      </c>
      <c r="AG13" s="3">
        <v>0</v>
      </c>
      <c r="AH13" s="3">
        <v>6465</v>
      </c>
    </row>
    <row r="14" spans="1:34" x14ac:dyDescent="0.25">
      <c r="E14" t="str">
        <v>PETR4</v>
      </c>
      <c r="F14" t="str">
        <v>Ação</v>
      </c>
      <c r="G14" t="str" cm="1">
        <f t="array" ref="G14">IF(E14="","",TRANSPOSE(_xlfn.UNIQUE(_xlfn._xlws.FILTER(TabelaMovimentacoes[Conta],(TabelaMovimentacoes[Descrição]=E14)+(TabelaMovimentacoes[Descrição]=E14&amp;".N")))))</f>
        <v>ABCD</v>
      </c>
      <c r="J14">
        <v>0</v>
      </c>
      <c r="K14" s="2">
        <v>0</v>
      </c>
      <c r="L14">
        <v>49</v>
      </c>
      <c r="M14" s="2">
        <v>1117.54</v>
      </c>
      <c r="N14" t="str">
        <v>Sim</v>
      </c>
      <c r="P14" s="3" t="str">
        <v>SMAL11</v>
      </c>
      <c r="Q14" s="3" t="str">
        <v>ABCD</v>
      </c>
      <c r="R14" s="3">
        <v>0</v>
      </c>
      <c r="S14" s="3">
        <v>0</v>
      </c>
      <c r="T14" s="3" t="str">
        <v>ETF</v>
      </c>
      <c r="U14" s="3">
        <v>20</v>
      </c>
      <c r="V14" s="4">
        <v>142.7775</v>
      </c>
      <c r="W14" s="3">
        <v>74</v>
      </c>
      <c r="X14" s="3" t="str">
        <v>01.522.368/0001-82</v>
      </c>
      <c r="Y14" s="3" t="str">
        <v xml:space="preserve">20 Cotas de </v>
      </c>
      <c r="Z14" s="3" t="str">
        <v>ISHARES BMFBOVESPA SMALL CAP FUNDO DE ÍNDICE (SMAL11 )</v>
      </c>
      <c r="AA14" s="3" t="str">
        <v xml:space="preserve"> ao custo de R$ 142,7775 cada - </v>
      </c>
      <c r="AB14" s="3" t="str">
        <v xml:space="preserve">Ticker: SMAL11 - </v>
      </c>
      <c r="AC14" s="3" t="str">
        <v>Custodiadas na corretora: ABCD S.A. - CNPJ: 12.345.678/0001-00</v>
      </c>
      <c r="AD14" s="3" t="str">
        <v/>
      </c>
      <c r="AE14" s="3" t="str">
        <v/>
      </c>
      <c r="AF14" s="43" t="str">
        <v>20 Cotas de ISHARES BMFBOVESPA SMALL CAP FUNDO DE ÍNDICE (SMAL11 ) ao custo de R$ 142,7775 cada - Ticker: SMAL11 - Custodiadas na corretora: ABCD S.A. - CNPJ: 12.345.678/0001-00</v>
      </c>
      <c r="AG14" s="3">
        <v>0</v>
      </c>
      <c r="AH14" s="3">
        <v>2855.55</v>
      </c>
    </row>
    <row r="15" spans="1:34" x14ac:dyDescent="0.25">
      <c r="E15" t="str">
        <v>PRNR3</v>
      </c>
      <c r="F15" t="str">
        <v>Ação</v>
      </c>
      <c r="G15" t="str" cm="1">
        <f t="array" ref="G15">IF(E15="","",TRANSPOSE(_xlfn.UNIQUE(_xlfn._xlws.FILTER(TabelaMovimentacoes[Conta],(TabelaMovimentacoes[Descrição]=E15)+(TabelaMovimentacoes[Descrição]=E15&amp;".N")))))</f>
        <v>ABCD</v>
      </c>
      <c r="J15">
        <v>0</v>
      </c>
      <c r="K15" s="2">
        <v>0</v>
      </c>
      <c r="L15">
        <v>500</v>
      </c>
      <c r="M15" s="2">
        <v>6465</v>
      </c>
      <c r="N15" t="str">
        <v>Sim</v>
      </c>
      <c r="P15" s="3" t="str">
        <v>SQIA3</v>
      </c>
      <c r="Q15" s="3" t="str">
        <v>ABCD</v>
      </c>
      <c r="R15" s="3">
        <v>0</v>
      </c>
      <c r="S15" s="3">
        <v>0</v>
      </c>
      <c r="T15" s="3" t="str">
        <v>Ação</v>
      </c>
      <c r="U15" s="3">
        <v>50</v>
      </c>
      <c r="V15" s="4">
        <v>10</v>
      </c>
      <c r="W15" s="3">
        <v>31</v>
      </c>
      <c r="X15" s="3" t="str">
        <v>04.065.791/0001-99</v>
      </c>
      <c r="Y15" s="3" t="str">
        <v xml:space="preserve">50 Ações de </v>
      </c>
      <c r="Z15" s="3" t="str">
        <v>SINQIA S.A.</v>
      </c>
      <c r="AA15" s="3" t="str">
        <v xml:space="preserve"> ao custo de R$ 10,0000 cada - </v>
      </c>
      <c r="AB15" s="3" t="str">
        <v xml:space="preserve">Ticker: SQIA3 - </v>
      </c>
      <c r="AC15" s="3" t="str">
        <v>Custodiadas na corretora: ABCD S.A. - CNPJ: 12.345.678/0001-00</v>
      </c>
      <c r="AD15" s="3" t="str">
        <v/>
      </c>
      <c r="AE15" s="3" t="str">
        <v/>
      </c>
      <c r="AF15" s="43" t="str">
        <v>50 Ações de SINQIA S.A. ao custo de R$ 10,0000 cada - Ticker: SQIA3 - Custodiadas na corretora: ABCD S.A. - CNPJ: 12.345.678/0001-00</v>
      </c>
      <c r="AG15" s="3">
        <v>0</v>
      </c>
      <c r="AH15" s="3">
        <v>500</v>
      </c>
    </row>
    <row r="16" spans="1:34" x14ac:dyDescent="0.25">
      <c r="E16" t="str">
        <v>SAPR11</v>
      </c>
      <c r="F16" t="str">
        <v>Ação</v>
      </c>
      <c r="G16" t="str" cm="1">
        <f t="array" ref="G16">IF(E16="","",TRANSPOSE(_xlfn.UNIQUE(_xlfn._xlws.FILTER(TabelaMovimentacoes[Conta],(TabelaMovimentacoes[Descrição]=E16)+(TabelaMovimentacoes[Descrição]=E16&amp;".N")))))</f>
        <v>ABCD</v>
      </c>
      <c r="J16">
        <v>0</v>
      </c>
      <c r="K16" s="2">
        <v>0</v>
      </c>
      <c r="L16">
        <v>0</v>
      </c>
      <c r="M16" s="2">
        <v>0</v>
      </c>
      <c r="N16" t="str">
        <v>Não</v>
      </c>
    </row>
    <row r="17" spans="5:14" x14ac:dyDescent="0.25">
      <c r="E17" t="str">
        <v>SMAL11</v>
      </c>
      <c r="F17" t="str">
        <v>ETF</v>
      </c>
      <c r="G17" t="str" cm="1">
        <f t="array" ref="G17">IF(E17="","",TRANSPOSE(_xlfn.UNIQUE(_xlfn._xlws.FILTER(TabelaMovimentacoes[Conta],(TabelaMovimentacoes[Descrição]=E17)+(TabelaMovimentacoes[Descrição]=E17&amp;".N")))))</f>
        <v>ABCD</v>
      </c>
      <c r="J17">
        <v>0</v>
      </c>
      <c r="K17" s="2">
        <v>0</v>
      </c>
      <c r="L17">
        <v>20</v>
      </c>
      <c r="M17" s="2">
        <v>2855.55</v>
      </c>
      <c r="N17" t="str">
        <v>Sim</v>
      </c>
    </row>
    <row r="18" spans="5:14" x14ac:dyDescent="0.25">
      <c r="E18" t="str">
        <v>SQIA3</v>
      </c>
      <c r="F18" t="str">
        <v>Ação</v>
      </c>
      <c r="G18" t="str" cm="1">
        <f t="array" ref="G18">IF(E18="","",TRANSPOSE(_xlfn.UNIQUE(_xlfn._xlws.FILTER(TabelaMovimentacoes[Conta],(TabelaMovimentacoes[Descrição]=E18)+(TabelaMovimentacoes[Descrição]=E18&amp;".N")))))</f>
        <v>ABCD</v>
      </c>
      <c r="J18">
        <v>0</v>
      </c>
      <c r="K18" s="2">
        <v>0</v>
      </c>
      <c r="L18">
        <v>50</v>
      </c>
      <c r="M18" s="2">
        <v>500</v>
      </c>
      <c r="N18" t="str">
        <v>Sim</v>
      </c>
    </row>
    <row r="19" spans="5:14" x14ac:dyDescent="0.25">
      <c r="E19" t="str">
        <v>YDUQ3</v>
      </c>
      <c r="F19" t="str">
        <v>Ação</v>
      </c>
      <c r="G19" t="str" cm="1">
        <f t="array" ref="G19:H19">IF(E19="","",TRANSPOSE(_xlfn.UNIQUE(_xlfn._xlws.FILTER(TabelaMovimentacoes[Conta],(TabelaMovimentacoes[Descrição]=E19)+(TabelaMovimentacoes[Descrição]=E19&amp;".N")))))</f>
        <v>ABCD</v>
      </c>
      <c r="H19" t="str">
        <v>DCBA</v>
      </c>
      <c r="J19">
        <v>0</v>
      </c>
      <c r="K19" s="2">
        <v>0</v>
      </c>
      <c r="L19">
        <v>0</v>
      </c>
      <c r="M19" s="2">
        <v>0</v>
      </c>
      <c r="N19" t="str">
        <v>Não</v>
      </c>
    </row>
    <row r="20" spans="5:14" x14ac:dyDescent="0.25">
      <c r="G20" t="str" cm="1">
        <f t="array" ref="G20">IF(E20="","",TRANSPOSE(_xlfn.UNIQUE(_xlfn._xlws.FILTER(TabelaMovimentacoes[Conta],(TabelaMovimentacoes[Descrição]=E20)+(TabelaMovimentacoes[Descrição]=E20&amp;".N")))))</f>
        <v/>
      </c>
    </row>
    <row r="21" spans="5:14" x14ac:dyDescent="0.25">
      <c r="G21" t="str" cm="1">
        <f t="array" ref="G21">IF(E21="","",TRANSPOSE(_xlfn.UNIQUE(_xlfn._xlws.FILTER(TabelaMovimentacoes[Conta],(TabelaMovimentacoes[Descrição]=E21)+(TabelaMovimentacoes[Descrição]=E21&amp;".N")))))</f>
        <v/>
      </c>
    </row>
    <row r="22" spans="5:14" x14ac:dyDescent="0.25">
      <c r="G22" t="str" cm="1">
        <f t="array" ref="G22">IF(E22="","",TRANSPOSE(_xlfn.UNIQUE(_xlfn._xlws.FILTER(TabelaMovimentacoes[Conta],(TabelaMovimentacoes[Descrição]=E22)+(TabelaMovimentacoes[Descrição]=E22&amp;".N")))))</f>
        <v/>
      </c>
    </row>
    <row r="23" spans="5:14" x14ac:dyDescent="0.25">
      <c r="G23" t="str" cm="1">
        <f t="array" ref="G23">IF(E23="","",TRANSPOSE(_xlfn.UNIQUE(_xlfn._xlws.FILTER(TabelaMovimentacoes[Conta],(TabelaMovimentacoes[Descrição]=E23)+(TabelaMovimentacoes[Descrição]=E23&amp;".N")))))</f>
        <v/>
      </c>
    </row>
    <row r="24" spans="5:14" x14ac:dyDescent="0.25">
      <c r="G24" t="str" cm="1">
        <f t="array" ref="G24">IF(E24="","",TRANSPOSE(_xlfn.UNIQUE(_xlfn._xlws.FILTER(TabelaMovimentacoes[Conta],(TabelaMovimentacoes[Descrição]=E24)+(TabelaMovimentacoes[Descrição]=E24&amp;".N")))))</f>
        <v/>
      </c>
    </row>
    <row r="25" spans="5:14" x14ac:dyDescent="0.25">
      <c r="G25" t="str" cm="1">
        <f t="array" ref="G25">IF(E25="","",TRANSPOSE(_xlfn.UNIQUE(_xlfn._xlws.FILTER(TabelaMovimentacoes[Conta],(TabelaMovimentacoes[Descrição]=E25)+(TabelaMovimentacoes[Descrição]=E25&amp;".N")))))</f>
        <v/>
      </c>
    </row>
    <row r="26" spans="5:14" x14ac:dyDescent="0.25">
      <c r="G26" t="str" cm="1">
        <f t="array" ref="G26">IF(E26="","",TRANSPOSE(_xlfn.UNIQUE(_xlfn._xlws.FILTER(TabelaMovimentacoes[Conta],(TabelaMovimentacoes[Descrição]=E26)+(TabelaMovimentacoes[Descrição]=E26&amp;".N")))))</f>
        <v/>
      </c>
    </row>
    <row r="27" spans="5:14" x14ac:dyDescent="0.25">
      <c r="G27" t="str" cm="1">
        <f t="array" ref="G27">IF(E27="","",TRANSPOSE(_xlfn.UNIQUE(_xlfn._xlws.FILTER(TabelaMovimentacoes[Conta],(TabelaMovimentacoes[Descrição]=E27)+(TabelaMovimentacoes[Descrição]=E27&amp;".N")))))</f>
        <v/>
      </c>
    </row>
    <row r="28" spans="5:14" x14ac:dyDescent="0.25">
      <c r="G28" t="str" cm="1">
        <f t="array" ref="G28">IF(E28="","",TRANSPOSE(_xlfn.UNIQUE(_xlfn._xlws.FILTER(TabelaMovimentacoes[Conta],(TabelaMovimentacoes[Descrição]=E28)+(TabelaMovimentacoes[Descrição]=E28&amp;".N")))))</f>
        <v/>
      </c>
    </row>
    <row r="29" spans="5:14" x14ac:dyDescent="0.25">
      <c r="G29" t="str" cm="1">
        <f t="array" ref="G29">IF(E29="","",TRANSPOSE(_xlfn.UNIQUE(_xlfn._xlws.FILTER(TabelaMovimentacoes[Conta],(TabelaMovimentacoes[Descrição]=E29)+(TabelaMovimentacoes[Descrição]=E29&amp;".N")))))</f>
        <v/>
      </c>
    </row>
    <row r="30" spans="5:14" x14ac:dyDescent="0.25">
      <c r="G30" t="str" cm="1">
        <f t="array" ref="G30">IF(E30="","",TRANSPOSE(_xlfn.UNIQUE(_xlfn._xlws.FILTER(TabelaMovimentacoes[Conta],(TabelaMovimentacoes[Descrição]=E30)+(TabelaMovimentacoes[Descrição]=E30&amp;".N")))))</f>
        <v/>
      </c>
    </row>
  </sheetData>
  <conditionalFormatting sqref="B4:C5">
    <cfRule type="expression" dxfId="8" priority="2">
      <formula>$B4&lt;&gt;""</formula>
    </cfRule>
  </conditionalFormatting>
  <conditionalFormatting sqref="A4:A5">
    <cfRule type="expression" dxfId="7" priority="1">
      <formula>$B4&lt;&gt;""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69B5E-E98C-453E-97A0-373CC1962079}">
  <sheetPr codeName="Planilha14"/>
  <dimension ref="A1:G207"/>
  <sheetViews>
    <sheetView showGridLines="0" topLeftCell="B1" workbookViewId="0">
      <pane xSplit="1" ySplit="3" topLeftCell="C4" activePane="bottomRight" state="frozen"/>
      <selection activeCell="B1" sqref="B1"/>
      <selection pane="topRight" activeCell="C1" sqref="C1"/>
      <selection pane="bottomLeft" activeCell="B4" sqref="B4"/>
      <selection pane="bottomRight" activeCell="E3" sqref="E3:E17"/>
    </sheetView>
  </sheetViews>
  <sheetFormatPr defaultRowHeight="15" x14ac:dyDescent="0.25"/>
  <cols>
    <col min="1" max="1" width="10.7109375" hidden="1" customWidth="1"/>
    <col min="2" max="2" width="10.7109375" bestFit="1" customWidth="1"/>
    <col min="3" max="3" width="36.5703125" bestFit="1" customWidth="1"/>
    <col min="4" max="4" width="18.28515625" bestFit="1" customWidth="1"/>
    <col min="5" max="5" width="10.5703125" bestFit="1" customWidth="1"/>
    <col min="6" max="6" width="14.7109375" bestFit="1" customWidth="1"/>
  </cols>
  <sheetData>
    <row r="1" spans="1:7" x14ac:dyDescent="0.25">
      <c r="B1" s="44" t="s">
        <v>1872</v>
      </c>
      <c r="C1" s="50">
        <v>2021</v>
      </c>
      <c r="D1" s="44" t="s">
        <v>78</v>
      </c>
      <c r="E1" s="51">
        <f>SUMIFS(TabelaIR[Lucro Isento],TabelaIR[Mês],"&gt;="&amp;DATE(C1,1,1),TabelaIR[Mês],"&lt;="&amp;DATE(C1,12,31))</f>
        <v>342.63</v>
      </c>
      <c r="F1" s="44" t="s">
        <v>1873</v>
      </c>
      <c r="G1" s="51">
        <f>ABS(SUMIFS(TabelaIR[I.R.R.F. no mês],TabelaIR[Mês],"&gt;="&amp;DATE(C1,1,1),TabelaIR[Mês],"&lt;="&amp;DATE(C1,12,31))
-
SUMIFS(TabelaIR[I.R.R.F Compensado],TabelaIR[Mês],"&gt;="&amp;DATE(C1,1,1),TabelaIR[Mês],"&lt;="&amp;DATE(C1,12,31)))
+
ABS(SUMIFS(TabelaIRFII[I.R.R.F. no mês],TabelaIRFII[Mês],"&gt;="&amp;DATE(C1,1,1),TabelaIRFII[Mês],"&lt;="&amp;DATE(C1,12,31))
-
SUMIFS(TabelaIRFII[I.R.R.F Compensado],TabelaIRFII[Mês],"&gt;="&amp;DATE(C1,1,1),TabelaIRFII[Mês],"&lt;="&amp;DATE(C1,12,31)))</f>
        <v>0.30000000000000004</v>
      </c>
    </row>
    <row r="3" spans="1:7" x14ac:dyDescent="0.25">
      <c r="B3" s="44" t="s">
        <v>76</v>
      </c>
      <c r="C3" s="44" t="s">
        <v>5</v>
      </c>
      <c r="D3" s="44" t="s">
        <v>1890</v>
      </c>
      <c r="E3" s="44" t="s">
        <v>1891</v>
      </c>
      <c r="F3" s="52" t="s">
        <v>1892</v>
      </c>
    </row>
    <row r="4" spans="1:7" x14ac:dyDescent="0.25">
      <c r="A4" s="1">
        <f>DATE(C1,1,1)</f>
        <v>44197</v>
      </c>
      <c r="B4" s="100">
        <f>A4</f>
        <v>44197</v>
      </c>
      <c r="C4" s="53" t="s">
        <v>1874</v>
      </c>
      <c r="D4" s="101">
        <f>VLOOKUP(A4,'Imposto de Renda'!A:I,3,0)+VLOOKUP(A4,'Imposto de Renda'!A:I,4,0)+VLOOKUP(A4,'Imposto de Renda'!A:I,5,0)-VLOOKUP(A4,'Imposto de Renda'!A:I,9,0)</f>
        <v>0</v>
      </c>
      <c r="E4" s="101">
        <f>VLOOKUP(A4,'Imposto de Renda Day Trade'!A:H,2,0)+VLOOKUP(A4,'Imposto de Renda Day Trade'!A:H,3,0)+VLOOKUP(A4,'Imposto de Renda Day Trade'!A:H,4,0)</f>
        <v>0</v>
      </c>
      <c r="F4" s="66"/>
    </row>
    <row r="5" spans="1:7" x14ac:dyDescent="0.25">
      <c r="A5" s="1">
        <f>A4</f>
        <v>44197</v>
      </c>
      <c r="B5" s="100"/>
      <c r="C5" s="53" t="s">
        <v>1875</v>
      </c>
      <c r="D5" s="106"/>
      <c r="E5" s="106"/>
      <c r="F5" s="67"/>
    </row>
    <row r="6" spans="1:7" x14ac:dyDescent="0.25">
      <c r="A6" s="1">
        <f>A5</f>
        <v>44197</v>
      </c>
      <c r="B6" s="100"/>
      <c r="C6" s="53" t="s">
        <v>1876</v>
      </c>
      <c r="D6" s="102"/>
      <c r="E6" s="102"/>
      <c r="F6" s="67"/>
    </row>
    <row r="7" spans="1:7" x14ac:dyDescent="0.25">
      <c r="A7" s="1">
        <f t="shared" ref="A7:A20" si="0">A6</f>
        <v>44197</v>
      </c>
      <c r="B7" s="100"/>
      <c r="C7" s="53" t="s">
        <v>1877</v>
      </c>
      <c r="D7" s="101">
        <f>VLOOKUP(A7,'Imposto de Renda'!A:I,8,0)</f>
        <v>0</v>
      </c>
      <c r="E7" s="101">
        <f>VLOOKUP(A4,'Imposto de Renda Day Trade'!A:H,7,0)</f>
        <v>0</v>
      </c>
      <c r="F7" s="67"/>
    </row>
    <row r="8" spans="1:7" x14ac:dyDescent="0.25">
      <c r="A8" s="1">
        <f t="shared" si="0"/>
        <v>44197</v>
      </c>
      <c r="B8" s="100"/>
      <c r="C8" s="53" t="s">
        <v>1878</v>
      </c>
      <c r="D8" s="106"/>
      <c r="E8" s="106"/>
      <c r="F8" s="67"/>
    </row>
    <row r="9" spans="1:7" x14ac:dyDescent="0.25">
      <c r="A9" s="1">
        <f t="shared" si="0"/>
        <v>44197</v>
      </c>
      <c r="B9" s="100"/>
      <c r="C9" s="53" t="s">
        <v>1879</v>
      </c>
      <c r="D9" s="106"/>
      <c r="E9" s="106"/>
      <c r="F9" s="67"/>
    </row>
    <row r="10" spans="1:7" x14ac:dyDescent="0.25">
      <c r="A10" s="1">
        <f t="shared" si="0"/>
        <v>44197</v>
      </c>
      <c r="B10" s="100"/>
      <c r="C10" s="53" t="s">
        <v>1880</v>
      </c>
      <c r="D10" s="102"/>
      <c r="E10" s="102"/>
      <c r="F10" s="67"/>
    </row>
    <row r="11" spans="1:7" x14ac:dyDescent="0.25">
      <c r="A11" s="1">
        <f t="shared" si="0"/>
        <v>44197</v>
      </c>
      <c r="B11" s="100"/>
      <c r="C11" s="53" t="s">
        <v>1881</v>
      </c>
      <c r="D11" s="101">
        <f>VLOOKUP(A7,'Imposto de Renda'!A:I,6,0)</f>
        <v>0</v>
      </c>
      <c r="E11" s="101">
        <f>VLOOKUP(A4,'Imposto de Renda Day Trade'!A:H,5,0)</f>
        <v>0</v>
      </c>
      <c r="F11" s="67"/>
    </row>
    <row r="12" spans="1:7" x14ac:dyDescent="0.25">
      <c r="A12" s="1">
        <f t="shared" si="0"/>
        <v>44197</v>
      </c>
      <c r="B12" s="100"/>
      <c r="C12" s="53" t="s">
        <v>1882</v>
      </c>
      <c r="D12" s="106"/>
      <c r="E12" s="106"/>
      <c r="F12" s="67"/>
    </row>
    <row r="13" spans="1:7" x14ac:dyDescent="0.25">
      <c r="A13" s="1">
        <f t="shared" si="0"/>
        <v>44197</v>
      </c>
      <c r="B13" s="100"/>
      <c r="C13" s="53" t="s">
        <v>1883</v>
      </c>
      <c r="D13" s="106"/>
      <c r="E13" s="106"/>
      <c r="F13" s="67"/>
    </row>
    <row r="14" spans="1:7" x14ac:dyDescent="0.25">
      <c r="A14" s="1">
        <f t="shared" si="0"/>
        <v>44197</v>
      </c>
      <c r="B14" s="100"/>
      <c r="C14" s="53" t="s">
        <v>1884</v>
      </c>
      <c r="D14" s="102"/>
      <c r="E14" s="102"/>
      <c r="F14" s="67"/>
    </row>
    <row r="15" spans="1:7" x14ac:dyDescent="0.25">
      <c r="A15" s="1">
        <f t="shared" si="0"/>
        <v>44197</v>
      </c>
      <c r="B15" s="100"/>
      <c r="C15" s="53" t="s">
        <v>1885</v>
      </c>
      <c r="D15" s="101">
        <f>VLOOKUP(A7,'Imposto de Renda'!A:I,7,0)</f>
        <v>0</v>
      </c>
      <c r="E15" s="101">
        <f>VLOOKUP(A4,'Imposto de Renda Day Trade'!A:H,6,0)</f>
        <v>0</v>
      </c>
      <c r="F15" s="67"/>
    </row>
    <row r="16" spans="1:7" x14ac:dyDescent="0.25">
      <c r="A16" s="1">
        <f t="shared" si="0"/>
        <v>44197</v>
      </c>
      <c r="B16" s="100"/>
      <c r="C16" s="53" t="s">
        <v>1886</v>
      </c>
      <c r="D16" s="102"/>
      <c r="E16" s="102"/>
      <c r="F16" s="67"/>
    </row>
    <row r="17" spans="1:6" x14ac:dyDescent="0.25">
      <c r="A17" s="1">
        <f t="shared" si="0"/>
        <v>44197</v>
      </c>
      <c r="B17" s="100"/>
      <c r="C17" s="53" t="s">
        <v>1887</v>
      </c>
      <c r="D17" s="66">
        <f>VLOOKUP(A17,'Imposto de Renda'!A:K,11,0)</f>
        <v>0</v>
      </c>
      <c r="E17" s="68">
        <f>VLOOKUP(A17,'Imposto de Renda Day Trade'!A:I,9,0)</f>
        <v>0</v>
      </c>
      <c r="F17" s="69"/>
    </row>
    <row r="18" spans="1:6" x14ac:dyDescent="0.25">
      <c r="A18" s="1">
        <f t="shared" si="0"/>
        <v>44197</v>
      </c>
      <c r="B18" s="100"/>
      <c r="C18" s="54" t="s">
        <v>1888</v>
      </c>
      <c r="D18" s="68"/>
      <c r="E18" s="70"/>
      <c r="F18" s="71">
        <f>VLOOKUP(A18,'Imposto de Renda Day Trade'!A:L,12,0)</f>
        <v>0</v>
      </c>
    </row>
    <row r="19" spans="1:6" x14ac:dyDescent="0.25">
      <c r="A19" s="1">
        <f t="shared" si="0"/>
        <v>44197</v>
      </c>
      <c r="B19" s="100"/>
      <c r="C19" s="54" t="s">
        <v>82</v>
      </c>
      <c r="D19" s="72"/>
      <c r="E19" s="73"/>
      <c r="F19" s="74">
        <f>VLOOKUP(A19,'Imposto de Renda'!A:N,14,0)</f>
        <v>-0.08</v>
      </c>
    </row>
    <row r="20" spans="1:6" x14ac:dyDescent="0.25">
      <c r="A20" s="1">
        <f t="shared" si="0"/>
        <v>44197</v>
      </c>
      <c r="B20" s="100"/>
      <c r="C20" s="54" t="s">
        <v>1889</v>
      </c>
      <c r="D20" s="75"/>
      <c r="E20" s="71"/>
      <c r="F20" s="74">
        <f>VLOOKUP(A20,'Imposto de Renda'!A:Q,17,0)+VLOOKUP(A20,'Imposto de Renda Day Trade'!A:O,15,0)</f>
        <v>0</v>
      </c>
    </row>
    <row r="21" spans="1:6" x14ac:dyDescent="0.25">
      <c r="A21" s="1">
        <f>EDATE(A4,1)</f>
        <v>44228</v>
      </c>
      <c r="B21" s="100">
        <f>A21</f>
        <v>44228</v>
      </c>
      <c r="C21" s="49" t="s">
        <v>1874</v>
      </c>
      <c r="D21" s="103">
        <f>VLOOKUP(A21,'Imposto de Renda'!A:I,3,0)+VLOOKUP(A21,'Imposto de Renda'!A:I,4,0)+VLOOKUP(A21,'Imposto de Renda'!A:I,5,0)-VLOOKUP(A21,'Imposto de Renda'!A:I,9,0)</f>
        <v>0</v>
      </c>
      <c r="E21" s="103">
        <f>VLOOKUP(A21,'Imposto de Renda Day Trade'!A:H,2,0)+VLOOKUP(A21,'Imposto de Renda Day Trade'!A:H,3,0)+VLOOKUP(A21,'Imposto de Renda Day Trade'!A:H,4,0)</f>
        <v>0</v>
      </c>
      <c r="F21" s="76"/>
    </row>
    <row r="22" spans="1:6" x14ac:dyDescent="0.25">
      <c r="A22" s="1">
        <f>A21</f>
        <v>44228</v>
      </c>
      <c r="B22" s="100"/>
      <c r="C22" s="49" t="s">
        <v>1875</v>
      </c>
      <c r="D22" s="104"/>
      <c r="E22" s="104"/>
      <c r="F22" s="77"/>
    </row>
    <row r="23" spans="1:6" x14ac:dyDescent="0.25">
      <c r="A23" s="1">
        <f t="shared" ref="A23:A37" si="1">A22</f>
        <v>44228</v>
      </c>
      <c r="B23" s="100"/>
      <c r="C23" s="49" t="s">
        <v>1876</v>
      </c>
      <c r="D23" s="105"/>
      <c r="E23" s="105"/>
      <c r="F23" s="77"/>
    </row>
    <row r="24" spans="1:6" x14ac:dyDescent="0.25">
      <c r="A24" s="1">
        <f t="shared" si="1"/>
        <v>44228</v>
      </c>
      <c r="B24" s="100"/>
      <c r="C24" s="49" t="s">
        <v>1877</v>
      </c>
      <c r="D24" s="103">
        <f>VLOOKUP(A24,'Imposto de Renda'!A:I,8,0)</f>
        <v>0</v>
      </c>
      <c r="E24" s="103">
        <f>VLOOKUP(A21,'Imposto de Renda Day Trade'!A:H,7,0)</f>
        <v>0</v>
      </c>
      <c r="F24" s="77"/>
    </row>
    <row r="25" spans="1:6" x14ac:dyDescent="0.25">
      <c r="A25" s="1">
        <f t="shared" si="1"/>
        <v>44228</v>
      </c>
      <c r="B25" s="100"/>
      <c r="C25" s="49" t="s">
        <v>1878</v>
      </c>
      <c r="D25" s="104"/>
      <c r="E25" s="104"/>
      <c r="F25" s="77"/>
    </row>
    <row r="26" spans="1:6" x14ac:dyDescent="0.25">
      <c r="A26" s="1">
        <f t="shared" si="1"/>
        <v>44228</v>
      </c>
      <c r="B26" s="100"/>
      <c r="C26" s="49" t="s">
        <v>1879</v>
      </c>
      <c r="D26" s="104"/>
      <c r="E26" s="104"/>
      <c r="F26" s="77"/>
    </row>
    <row r="27" spans="1:6" x14ac:dyDescent="0.25">
      <c r="A27" s="1">
        <f t="shared" si="1"/>
        <v>44228</v>
      </c>
      <c r="B27" s="100"/>
      <c r="C27" s="49" t="s">
        <v>1880</v>
      </c>
      <c r="D27" s="105"/>
      <c r="E27" s="105"/>
      <c r="F27" s="77"/>
    </row>
    <row r="28" spans="1:6" x14ac:dyDescent="0.25">
      <c r="A28" s="1">
        <f t="shared" si="1"/>
        <v>44228</v>
      </c>
      <c r="B28" s="100"/>
      <c r="C28" s="49" t="s">
        <v>1881</v>
      </c>
      <c r="D28" s="103">
        <f>VLOOKUP(A24,'Imposto de Renda'!A:I,6,0)</f>
        <v>0</v>
      </c>
      <c r="E28" s="103">
        <f>VLOOKUP(A21,'Imposto de Renda Day Trade'!A:H,5,0)</f>
        <v>0</v>
      </c>
      <c r="F28" s="77"/>
    </row>
    <row r="29" spans="1:6" x14ac:dyDescent="0.25">
      <c r="A29" s="1">
        <f t="shared" si="1"/>
        <v>44228</v>
      </c>
      <c r="B29" s="100"/>
      <c r="C29" s="49" t="s">
        <v>1882</v>
      </c>
      <c r="D29" s="104"/>
      <c r="E29" s="104"/>
      <c r="F29" s="77"/>
    </row>
    <row r="30" spans="1:6" x14ac:dyDescent="0.25">
      <c r="A30" s="1">
        <f t="shared" si="1"/>
        <v>44228</v>
      </c>
      <c r="B30" s="100"/>
      <c r="C30" s="49" t="s">
        <v>1883</v>
      </c>
      <c r="D30" s="104"/>
      <c r="E30" s="104"/>
      <c r="F30" s="77"/>
    </row>
    <row r="31" spans="1:6" x14ac:dyDescent="0.25">
      <c r="A31" s="1">
        <f t="shared" si="1"/>
        <v>44228</v>
      </c>
      <c r="B31" s="100"/>
      <c r="C31" s="49" t="s">
        <v>1884</v>
      </c>
      <c r="D31" s="105"/>
      <c r="E31" s="105"/>
      <c r="F31" s="77"/>
    </row>
    <row r="32" spans="1:6" x14ac:dyDescent="0.25">
      <c r="A32" s="1">
        <f t="shared" si="1"/>
        <v>44228</v>
      </c>
      <c r="B32" s="100"/>
      <c r="C32" s="49" t="s">
        <v>1885</v>
      </c>
      <c r="D32" s="103">
        <f>VLOOKUP(A24,'Imposto de Renda'!A:I,7,0)</f>
        <v>0</v>
      </c>
      <c r="E32" s="103">
        <f>VLOOKUP(A21,'Imposto de Renda Day Trade'!A:H,6,0)</f>
        <v>0</v>
      </c>
      <c r="F32" s="77"/>
    </row>
    <row r="33" spans="1:6" x14ac:dyDescent="0.25">
      <c r="A33" s="1">
        <f t="shared" si="1"/>
        <v>44228</v>
      </c>
      <c r="B33" s="100"/>
      <c r="C33" s="49" t="s">
        <v>1886</v>
      </c>
      <c r="D33" s="104"/>
      <c r="E33" s="104"/>
      <c r="F33" s="77"/>
    </row>
    <row r="34" spans="1:6" x14ac:dyDescent="0.25">
      <c r="A34" s="1">
        <f t="shared" si="1"/>
        <v>44228</v>
      </c>
      <c r="B34" s="100"/>
      <c r="C34" s="78" t="s">
        <v>1887</v>
      </c>
      <c r="D34" s="79"/>
      <c r="E34" s="80"/>
      <c r="F34" s="81"/>
    </row>
    <row r="35" spans="1:6" x14ac:dyDescent="0.25">
      <c r="A35" s="1">
        <f t="shared" si="1"/>
        <v>44228</v>
      </c>
      <c r="B35" s="100"/>
      <c r="C35" s="78" t="s">
        <v>1888</v>
      </c>
      <c r="D35" s="82"/>
      <c r="E35" s="83"/>
      <c r="F35" s="81">
        <f>VLOOKUP(A35,'Imposto de Renda Day Trade'!A:L,12,0)</f>
        <v>0</v>
      </c>
    </row>
    <row r="36" spans="1:6" x14ac:dyDescent="0.25">
      <c r="A36" s="1">
        <f t="shared" si="1"/>
        <v>44228</v>
      </c>
      <c r="B36" s="100"/>
      <c r="C36" s="78" t="s">
        <v>82</v>
      </c>
      <c r="D36" s="82"/>
      <c r="E36" s="83"/>
      <c r="F36" s="84">
        <f>VLOOKUP(A36,'Imposto de Renda'!A:N,14,0)</f>
        <v>0</v>
      </c>
    </row>
    <row r="37" spans="1:6" x14ac:dyDescent="0.25">
      <c r="A37" s="1">
        <f t="shared" si="1"/>
        <v>44228</v>
      </c>
      <c r="B37" s="100"/>
      <c r="C37" s="78" t="s">
        <v>1889</v>
      </c>
      <c r="D37" s="85"/>
      <c r="E37" s="81"/>
      <c r="F37" s="84">
        <f>VLOOKUP(A37,'Imposto de Renda'!A:Q,17,0)+VLOOKUP(A37,'Imposto de Renda Day Trade'!A:O,15,0)</f>
        <v>0</v>
      </c>
    </row>
    <row r="38" spans="1:6" x14ac:dyDescent="0.25">
      <c r="A38" s="1">
        <f>EDATE(A21,1)</f>
        <v>44256</v>
      </c>
      <c r="B38" s="100">
        <f t="shared" ref="B38" si="2">A38</f>
        <v>44256</v>
      </c>
      <c r="C38" s="53" t="s">
        <v>1874</v>
      </c>
      <c r="D38" s="101">
        <f>VLOOKUP(A38,'Imposto de Renda'!A:I,3,0)+VLOOKUP(A38,'Imposto de Renda'!A:I,4,0)+VLOOKUP(A38,'Imposto de Renda'!A:I,5,0)-VLOOKUP(A38,'Imposto de Renda'!A:I,9,0)</f>
        <v>0</v>
      </c>
      <c r="E38" s="101">
        <f>VLOOKUP(A38,'Imposto de Renda Day Trade'!A:H,2,0)+VLOOKUP(A38,'Imposto de Renda Day Trade'!A:H,3,0)+VLOOKUP(A38,'Imposto de Renda Day Trade'!A:H,4,0)</f>
        <v>45.52</v>
      </c>
      <c r="F38" s="66"/>
    </row>
    <row r="39" spans="1:6" x14ac:dyDescent="0.25">
      <c r="A39" s="1">
        <f>A38</f>
        <v>44256</v>
      </c>
      <c r="B39" s="100"/>
      <c r="C39" s="53" t="s">
        <v>1875</v>
      </c>
      <c r="D39" s="106"/>
      <c r="E39" s="106"/>
      <c r="F39" s="67"/>
    </row>
    <row r="40" spans="1:6" x14ac:dyDescent="0.25">
      <c r="A40" s="1">
        <f t="shared" ref="A40:A54" si="3">A39</f>
        <v>44256</v>
      </c>
      <c r="B40" s="100"/>
      <c r="C40" s="53" t="s">
        <v>1876</v>
      </c>
      <c r="D40" s="102"/>
      <c r="E40" s="102"/>
      <c r="F40" s="67"/>
    </row>
    <row r="41" spans="1:6" x14ac:dyDescent="0.25">
      <c r="A41" s="1">
        <f t="shared" si="3"/>
        <v>44256</v>
      </c>
      <c r="B41" s="100"/>
      <c r="C41" s="53" t="s">
        <v>1877</v>
      </c>
      <c r="D41" s="101">
        <f>VLOOKUP(A41,'Imposto de Renda'!A:I,8,0)</f>
        <v>0</v>
      </c>
      <c r="E41" s="101">
        <f>VLOOKUP(A38,'Imposto de Renda Day Trade'!A:H,7,0)</f>
        <v>0</v>
      </c>
      <c r="F41" s="67"/>
    </row>
    <row r="42" spans="1:6" x14ac:dyDescent="0.25">
      <c r="A42" s="1">
        <f t="shared" si="3"/>
        <v>44256</v>
      </c>
      <c r="B42" s="100"/>
      <c r="C42" s="53" t="s">
        <v>1878</v>
      </c>
      <c r="D42" s="106"/>
      <c r="E42" s="106"/>
      <c r="F42" s="67"/>
    </row>
    <row r="43" spans="1:6" x14ac:dyDescent="0.25">
      <c r="A43" s="1">
        <f t="shared" si="3"/>
        <v>44256</v>
      </c>
      <c r="B43" s="100"/>
      <c r="C43" s="53" t="s">
        <v>1879</v>
      </c>
      <c r="D43" s="106"/>
      <c r="E43" s="106"/>
      <c r="F43" s="67"/>
    </row>
    <row r="44" spans="1:6" x14ac:dyDescent="0.25">
      <c r="A44" s="1">
        <f t="shared" si="3"/>
        <v>44256</v>
      </c>
      <c r="B44" s="100"/>
      <c r="C44" s="53" t="s">
        <v>1880</v>
      </c>
      <c r="D44" s="102"/>
      <c r="E44" s="102"/>
      <c r="F44" s="67"/>
    </row>
    <row r="45" spans="1:6" x14ac:dyDescent="0.25">
      <c r="A45" s="1">
        <f t="shared" si="3"/>
        <v>44256</v>
      </c>
      <c r="B45" s="100"/>
      <c r="C45" s="53" t="s">
        <v>1881</v>
      </c>
      <c r="D45" s="101">
        <f>VLOOKUP(A41,'Imposto de Renda'!A:I,6,0)</f>
        <v>0</v>
      </c>
      <c r="E45" s="101">
        <f>VLOOKUP(A38,'Imposto de Renda Day Trade'!A:H,5,0)</f>
        <v>0</v>
      </c>
      <c r="F45" s="67"/>
    </row>
    <row r="46" spans="1:6" x14ac:dyDescent="0.25">
      <c r="A46" s="1">
        <f t="shared" si="3"/>
        <v>44256</v>
      </c>
      <c r="B46" s="100"/>
      <c r="C46" s="53" t="s">
        <v>1882</v>
      </c>
      <c r="D46" s="106"/>
      <c r="E46" s="106"/>
      <c r="F46" s="67"/>
    </row>
    <row r="47" spans="1:6" x14ac:dyDescent="0.25">
      <c r="A47" s="1">
        <f t="shared" si="3"/>
        <v>44256</v>
      </c>
      <c r="B47" s="100"/>
      <c r="C47" s="53" t="s">
        <v>1883</v>
      </c>
      <c r="D47" s="106"/>
      <c r="E47" s="106"/>
      <c r="F47" s="67"/>
    </row>
    <row r="48" spans="1:6" x14ac:dyDescent="0.25">
      <c r="A48" s="1">
        <f t="shared" si="3"/>
        <v>44256</v>
      </c>
      <c r="B48" s="100"/>
      <c r="C48" s="53" t="s">
        <v>1884</v>
      </c>
      <c r="D48" s="102"/>
      <c r="E48" s="102"/>
      <c r="F48" s="67"/>
    </row>
    <row r="49" spans="1:6" x14ac:dyDescent="0.25">
      <c r="A49" s="1">
        <f t="shared" si="3"/>
        <v>44256</v>
      </c>
      <c r="B49" s="100"/>
      <c r="C49" s="53" t="s">
        <v>1885</v>
      </c>
      <c r="D49" s="101">
        <f>VLOOKUP(A41,'Imposto de Renda'!A:I,7,0)</f>
        <v>0</v>
      </c>
      <c r="E49" s="101">
        <f>VLOOKUP(A38,'Imposto de Renda Day Trade'!A:H,6,0)</f>
        <v>0</v>
      </c>
      <c r="F49" s="67"/>
    </row>
    <row r="50" spans="1:6" x14ac:dyDescent="0.25">
      <c r="A50" s="1">
        <f t="shared" si="3"/>
        <v>44256</v>
      </c>
      <c r="B50" s="100"/>
      <c r="C50" s="53" t="s">
        <v>1886</v>
      </c>
      <c r="D50" s="106"/>
      <c r="E50" s="106"/>
      <c r="F50" s="67"/>
    </row>
    <row r="51" spans="1:6" x14ac:dyDescent="0.25">
      <c r="A51" s="1">
        <f t="shared" si="3"/>
        <v>44256</v>
      </c>
      <c r="B51" s="100"/>
      <c r="C51" s="54" t="s">
        <v>1887</v>
      </c>
      <c r="D51" s="68"/>
      <c r="E51" s="70"/>
      <c r="F51" s="71"/>
    </row>
    <row r="52" spans="1:6" x14ac:dyDescent="0.25">
      <c r="A52" s="1">
        <f t="shared" si="3"/>
        <v>44256</v>
      </c>
      <c r="B52" s="100"/>
      <c r="C52" s="54" t="s">
        <v>1888</v>
      </c>
      <c r="D52" s="72"/>
      <c r="E52" s="73"/>
      <c r="F52" s="71">
        <f>VLOOKUP(A52,'Imposto de Renda Day Trade'!A:L,12,0)</f>
        <v>-0.46</v>
      </c>
    </row>
    <row r="53" spans="1:6" x14ac:dyDescent="0.25">
      <c r="A53" s="1">
        <f t="shared" si="3"/>
        <v>44256</v>
      </c>
      <c r="B53" s="100"/>
      <c r="C53" s="54" t="s">
        <v>82</v>
      </c>
      <c r="D53" s="72"/>
      <c r="E53" s="73"/>
      <c r="F53" s="74">
        <f>VLOOKUP(A53,'Imposto de Renda'!A:N,14,0)</f>
        <v>0</v>
      </c>
    </row>
    <row r="54" spans="1:6" x14ac:dyDescent="0.25">
      <c r="A54" s="1">
        <f t="shared" si="3"/>
        <v>44256</v>
      </c>
      <c r="B54" s="100"/>
      <c r="C54" s="54" t="s">
        <v>1889</v>
      </c>
      <c r="D54" s="75"/>
      <c r="E54" s="71"/>
      <c r="F54" s="74">
        <f>VLOOKUP(A54,'Imposto de Renda'!A:Q,17,0)+VLOOKUP(A54,'Imposto de Renda Day Trade'!A:O,15,0)</f>
        <v>0</v>
      </c>
    </row>
    <row r="55" spans="1:6" x14ac:dyDescent="0.25">
      <c r="A55" s="1">
        <f t="shared" ref="A55" si="4">EDATE(A38,1)</f>
        <v>44287</v>
      </c>
      <c r="B55" s="100">
        <f t="shared" ref="B55" si="5">A55</f>
        <v>44287</v>
      </c>
      <c r="C55" s="49" t="s">
        <v>1874</v>
      </c>
      <c r="D55" s="103">
        <f>VLOOKUP(A55,'Imposto de Renda'!A:I,3,0)+VLOOKUP(A55,'Imposto de Renda'!A:I,4,0)+VLOOKUP(A55,'Imposto de Renda'!A:I,5,0)-VLOOKUP(A55,'Imposto de Renda'!A:I,9,0)</f>
        <v>27.16</v>
      </c>
      <c r="E55" s="103">
        <f>VLOOKUP(A55,'Imposto de Renda Day Trade'!A:H,2,0)+VLOOKUP(A55,'Imposto de Renda Day Trade'!A:H,3,0)+VLOOKUP(A55,'Imposto de Renda Day Trade'!A:H,4,0)</f>
        <v>-178.78</v>
      </c>
      <c r="F55" s="76"/>
    </row>
    <row r="56" spans="1:6" x14ac:dyDescent="0.25">
      <c r="A56" s="1">
        <f t="shared" ref="A56:A71" si="6">A55</f>
        <v>44287</v>
      </c>
      <c r="B56" s="100"/>
      <c r="C56" s="49" t="s">
        <v>1875</v>
      </c>
      <c r="D56" s="104"/>
      <c r="E56" s="104"/>
      <c r="F56" s="77"/>
    </row>
    <row r="57" spans="1:6" x14ac:dyDescent="0.25">
      <c r="A57" s="1">
        <f t="shared" si="6"/>
        <v>44287</v>
      </c>
      <c r="B57" s="100"/>
      <c r="C57" s="49" t="s">
        <v>1876</v>
      </c>
      <c r="D57" s="105"/>
      <c r="E57" s="105"/>
      <c r="F57" s="77"/>
    </row>
    <row r="58" spans="1:6" x14ac:dyDescent="0.25">
      <c r="A58" s="1">
        <f t="shared" si="6"/>
        <v>44287</v>
      </c>
      <c r="B58" s="100"/>
      <c r="C58" s="49" t="s">
        <v>1877</v>
      </c>
      <c r="D58" s="103">
        <f>VLOOKUP(A58,'Imposto de Renda'!A:I,8,0)</f>
        <v>0</v>
      </c>
      <c r="E58" s="103">
        <f>VLOOKUP(A55,'Imposto de Renda Day Trade'!A:H,7,0)</f>
        <v>0</v>
      </c>
      <c r="F58" s="77"/>
    </row>
    <row r="59" spans="1:6" x14ac:dyDescent="0.25">
      <c r="A59" s="1">
        <f t="shared" si="6"/>
        <v>44287</v>
      </c>
      <c r="B59" s="100"/>
      <c r="C59" s="49" t="s">
        <v>1878</v>
      </c>
      <c r="D59" s="104"/>
      <c r="E59" s="104"/>
      <c r="F59" s="77"/>
    </row>
    <row r="60" spans="1:6" x14ac:dyDescent="0.25">
      <c r="A60" s="1">
        <f t="shared" si="6"/>
        <v>44287</v>
      </c>
      <c r="B60" s="100"/>
      <c r="C60" s="49" t="s">
        <v>1879</v>
      </c>
      <c r="D60" s="104"/>
      <c r="E60" s="104"/>
      <c r="F60" s="77"/>
    </row>
    <row r="61" spans="1:6" x14ac:dyDescent="0.25">
      <c r="A61" s="1">
        <f t="shared" si="6"/>
        <v>44287</v>
      </c>
      <c r="B61" s="100"/>
      <c r="C61" s="49" t="s">
        <v>1880</v>
      </c>
      <c r="D61" s="105"/>
      <c r="E61" s="105"/>
      <c r="F61" s="77"/>
    </row>
    <row r="62" spans="1:6" x14ac:dyDescent="0.25">
      <c r="A62" s="1">
        <f t="shared" si="6"/>
        <v>44287</v>
      </c>
      <c r="B62" s="100"/>
      <c r="C62" s="49" t="s">
        <v>1881</v>
      </c>
      <c r="D62" s="103">
        <f>VLOOKUP(A58,'Imposto de Renda'!A:I,6,0)</f>
        <v>0</v>
      </c>
      <c r="E62" s="103">
        <f>VLOOKUP(A55,'Imposto de Renda Day Trade'!A:H,5,0)</f>
        <v>0</v>
      </c>
      <c r="F62" s="77"/>
    </row>
    <row r="63" spans="1:6" x14ac:dyDescent="0.25">
      <c r="A63" s="1">
        <f t="shared" si="6"/>
        <v>44287</v>
      </c>
      <c r="B63" s="100"/>
      <c r="C63" s="49" t="s">
        <v>1882</v>
      </c>
      <c r="D63" s="104"/>
      <c r="E63" s="104"/>
      <c r="F63" s="77"/>
    </row>
    <row r="64" spans="1:6" x14ac:dyDescent="0.25">
      <c r="A64" s="1">
        <f t="shared" si="6"/>
        <v>44287</v>
      </c>
      <c r="B64" s="100"/>
      <c r="C64" s="49" t="s">
        <v>1883</v>
      </c>
      <c r="D64" s="104"/>
      <c r="E64" s="104"/>
      <c r="F64" s="77"/>
    </row>
    <row r="65" spans="1:6" x14ac:dyDescent="0.25">
      <c r="A65" s="1">
        <f t="shared" si="6"/>
        <v>44287</v>
      </c>
      <c r="B65" s="100"/>
      <c r="C65" s="49" t="s">
        <v>1884</v>
      </c>
      <c r="D65" s="105"/>
      <c r="E65" s="105"/>
      <c r="F65" s="77"/>
    </row>
    <row r="66" spans="1:6" x14ac:dyDescent="0.25">
      <c r="A66" s="1">
        <f t="shared" si="6"/>
        <v>44287</v>
      </c>
      <c r="B66" s="100"/>
      <c r="C66" s="49" t="s">
        <v>1885</v>
      </c>
      <c r="D66" s="103">
        <f>VLOOKUP(A58,'Imposto de Renda'!A:I,7,0)</f>
        <v>0</v>
      </c>
      <c r="E66" s="103">
        <f>VLOOKUP(A55,'Imposto de Renda Day Trade'!A:H,6,0)</f>
        <v>0</v>
      </c>
      <c r="F66" s="77"/>
    </row>
    <row r="67" spans="1:6" x14ac:dyDescent="0.25">
      <c r="A67" s="1">
        <f t="shared" si="6"/>
        <v>44287</v>
      </c>
      <c r="B67" s="100"/>
      <c r="C67" s="49" t="s">
        <v>1886</v>
      </c>
      <c r="D67" s="104"/>
      <c r="E67" s="104"/>
      <c r="F67" s="77"/>
    </row>
    <row r="68" spans="1:6" x14ac:dyDescent="0.25">
      <c r="A68" s="1">
        <f t="shared" si="6"/>
        <v>44287</v>
      </c>
      <c r="B68" s="100"/>
      <c r="C68" s="49" t="s">
        <v>1887</v>
      </c>
      <c r="D68" s="79"/>
      <c r="E68" s="80"/>
      <c r="F68" s="81"/>
    </row>
    <row r="69" spans="1:6" x14ac:dyDescent="0.25">
      <c r="A69" s="1">
        <f t="shared" si="6"/>
        <v>44287</v>
      </c>
      <c r="B69" s="100"/>
      <c r="C69" s="49" t="s">
        <v>1888</v>
      </c>
      <c r="D69" s="82"/>
      <c r="E69" s="83"/>
      <c r="F69" s="81">
        <f>VLOOKUP(A69,'Imposto de Renda Day Trade'!A:L,12,0)</f>
        <v>-0.96</v>
      </c>
    </row>
    <row r="70" spans="1:6" x14ac:dyDescent="0.25">
      <c r="A70" s="1">
        <f t="shared" si="6"/>
        <v>44287</v>
      </c>
      <c r="B70" s="100"/>
      <c r="C70" s="49" t="s">
        <v>82</v>
      </c>
      <c r="D70" s="82"/>
      <c r="E70" s="83"/>
      <c r="F70" s="84">
        <f>VLOOKUP(A70,'Imposto de Renda'!A:N,14,0)</f>
        <v>-0.03</v>
      </c>
    </row>
    <row r="71" spans="1:6" x14ac:dyDescent="0.25">
      <c r="A71" s="1">
        <f t="shared" si="6"/>
        <v>44287</v>
      </c>
      <c r="B71" s="100"/>
      <c r="C71" s="49" t="s">
        <v>1889</v>
      </c>
      <c r="D71" s="85"/>
      <c r="E71" s="81"/>
      <c r="F71" s="84">
        <f>VLOOKUP(A71,'Imposto de Renda'!A:Q,17,0)+VLOOKUP(A71,'Imposto de Renda Day Trade'!A:O,15,0)</f>
        <v>0</v>
      </c>
    </row>
    <row r="72" spans="1:6" x14ac:dyDescent="0.25">
      <c r="A72" s="1">
        <f t="shared" ref="A72" si="7">EDATE(A55,1)</f>
        <v>44317</v>
      </c>
      <c r="B72" s="100">
        <f t="shared" ref="B72" si="8">A72</f>
        <v>44317</v>
      </c>
      <c r="C72" s="53" t="s">
        <v>1874</v>
      </c>
      <c r="D72" s="101">
        <f>VLOOKUP(A72,'Imposto de Renda'!A:I,3,0)+VLOOKUP(A72,'Imposto de Renda'!A:I,4,0)+VLOOKUP(A72,'Imposto de Renda'!A:I,5,0)-VLOOKUP(A72,'Imposto de Renda'!A:I,9,0)</f>
        <v>-7.5</v>
      </c>
      <c r="E72" s="101">
        <f>VLOOKUP(A72,'Imposto de Renda Day Trade'!A:H,2,0)+VLOOKUP(A72,'Imposto de Renda Day Trade'!A:H,3,0)+VLOOKUP(A72,'Imposto de Renda Day Trade'!A:H,4,0)</f>
        <v>0</v>
      </c>
      <c r="F72" s="66"/>
    </row>
    <row r="73" spans="1:6" x14ac:dyDescent="0.25">
      <c r="A73" s="1">
        <f t="shared" ref="A73:A88" si="9">A72</f>
        <v>44317</v>
      </c>
      <c r="B73" s="100"/>
      <c r="C73" s="53" t="s">
        <v>1875</v>
      </c>
      <c r="D73" s="106"/>
      <c r="E73" s="106"/>
      <c r="F73" s="67"/>
    </row>
    <row r="74" spans="1:6" x14ac:dyDescent="0.25">
      <c r="A74" s="1">
        <f t="shared" si="9"/>
        <v>44317</v>
      </c>
      <c r="B74" s="100"/>
      <c r="C74" s="53" t="s">
        <v>1876</v>
      </c>
      <c r="D74" s="102"/>
      <c r="E74" s="102"/>
      <c r="F74" s="67"/>
    </row>
    <row r="75" spans="1:6" x14ac:dyDescent="0.25">
      <c r="A75" s="1">
        <f t="shared" si="9"/>
        <v>44317</v>
      </c>
      <c r="B75" s="100"/>
      <c r="C75" s="53" t="s">
        <v>1877</v>
      </c>
      <c r="D75" s="101">
        <f>VLOOKUP(A75,'Imposto de Renda'!A:I,8,0)</f>
        <v>0</v>
      </c>
      <c r="E75" s="101">
        <f>VLOOKUP(A72,'Imposto de Renda Day Trade'!A:H,7,0)</f>
        <v>0</v>
      </c>
      <c r="F75" s="67"/>
    </row>
    <row r="76" spans="1:6" x14ac:dyDescent="0.25">
      <c r="A76" s="1">
        <f t="shared" si="9"/>
        <v>44317</v>
      </c>
      <c r="B76" s="100"/>
      <c r="C76" s="53" t="s">
        <v>1878</v>
      </c>
      <c r="D76" s="106"/>
      <c r="E76" s="106"/>
      <c r="F76" s="67"/>
    </row>
    <row r="77" spans="1:6" x14ac:dyDescent="0.25">
      <c r="A77" s="1">
        <f t="shared" si="9"/>
        <v>44317</v>
      </c>
      <c r="B77" s="100"/>
      <c r="C77" s="53" t="s">
        <v>1879</v>
      </c>
      <c r="D77" s="106"/>
      <c r="E77" s="106"/>
      <c r="F77" s="67"/>
    </row>
    <row r="78" spans="1:6" x14ac:dyDescent="0.25">
      <c r="A78" s="1">
        <f t="shared" si="9"/>
        <v>44317</v>
      </c>
      <c r="B78" s="100"/>
      <c r="C78" s="53" t="s">
        <v>1880</v>
      </c>
      <c r="D78" s="102"/>
      <c r="E78" s="102"/>
      <c r="F78" s="67"/>
    </row>
    <row r="79" spans="1:6" x14ac:dyDescent="0.25">
      <c r="A79" s="1">
        <f t="shared" si="9"/>
        <v>44317</v>
      </c>
      <c r="B79" s="100"/>
      <c r="C79" s="53" t="s">
        <v>1881</v>
      </c>
      <c r="D79" s="101">
        <f>VLOOKUP(A75,'Imposto de Renda'!A:I,6,0)</f>
        <v>0</v>
      </c>
      <c r="E79" s="101">
        <f>VLOOKUP(A72,'Imposto de Renda Day Trade'!A:H,5,0)</f>
        <v>0</v>
      </c>
      <c r="F79" s="67"/>
    </row>
    <row r="80" spans="1:6" x14ac:dyDescent="0.25">
      <c r="A80" s="1">
        <f t="shared" si="9"/>
        <v>44317</v>
      </c>
      <c r="B80" s="100"/>
      <c r="C80" s="53" t="s">
        <v>1882</v>
      </c>
      <c r="D80" s="106"/>
      <c r="E80" s="106"/>
      <c r="F80" s="67"/>
    </row>
    <row r="81" spans="1:6" x14ac:dyDescent="0.25">
      <c r="A81" s="1">
        <f t="shared" si="9"/>
        <v>44317</v>
      </c>
      <c r="B81" s="100"/>
      <c r="C81" s="53" t="s">
        <v>1883</v>
      </c>
      <c r="D81" s="106"/>
      <c r="E81" s="106"/>
      <c r="F81" s="67"/>
    </row>
    <row r="82" spans="1:6" x14ac:dyDescent="0.25">
      <c r="A82" s="1">
        <f t="shared" si="9"/>
        <v>44317</v>
      </c>
      <c r="B82" s="100"/>
      <c r="C82" s="53" t="s">
        <v>1884</v>
      </c>
      <c r="D82" s="102"/>
      <c r="E82" s="102"/>
      <c r="F82" s="67"/>
    </row>
    <row r="83" spans="1:6" x14ac:dyDescent="0.25">
      <c r="A83" s="1">
        <f t="shared" si="9"/>
        <v>44317</v>
      </c>
      <c r="B83" s="100"/>
      <c r="C83" s="53" t="s">
        <v>1885</v>
      </c>
      <c r="D83" s="101">
        <f>VLOOKUP(A75,'Imposto de Renda'!A:I,7,0)</f>
        <v>0</v>
      </c>
      <c r="E83" s="101">
        <f>VLOOKUP(A72,'Imposto de Renda Day Trade'!A:H,6,0)</f>
        <v>0</v>
      </c>
      <c r="F83" s="67"/>
    </row>
    <row r="84" spans="1:6" x14ac:dyDescent="0.25">
      <c r="A84" s="1">
        <f t="shared" si="9"/>
        <v>44317</v>
      </c>
      <c r="B84" s="100"/>
      <c r="C84" s="53" t="s">
        <v>1886</v>
      </c>
      <c r="D84" s="106"/>
      <c r="E84" s="106"/>
      <c r="F84" s="67"/>
    </row>
    <row r="85" spans="1:6" x14ac:dyDescent="0.25">
      <c r="A85" s="1">
        <f t="shared" si="9"/>
        <v>44317</v>
      </c>
      <c r="B85" s="100"/>
      <c r="C85" s="53" t="s">
        <v>1887</v>
      </c>
      <c r="D85" s="68"/>
      <c r="E85" s="70"/>
      <c r="F85" s="71"/>
    </row>
    <row r="86" spans="1:6" x14ac:dyDescent="0.25">
      <c r="A86" s="1">
        <f t="shared" si="9"/>
        <v>44317</v>
      </c>
      <c r="B86" s="100"/>
      <c r="C86" s="53" t="s">
        <v>1888</v>
      </c>
      <c r="D86" s="72"/>
      <c r="E86" s="73"/>
      <c r="F86" s="71">
        <f>VLOOKUP(A86,'Imposto de Renda Day Trade'!A:L,12,0)</f>
        <v>0</v>
      </c>
    </row>
    <row r="87" spans="1:6" x14ac:dyDescent="0.25">
      <c r="A87" s="1">
        <f t="shared" si="9"/>
        <v>44317</v>
      </c>
      <c r="B87" s="100"/>
      <c r="C87" s="53" t="s">
        <v>82</v>
      </c>
      <c r="D87" s="72"/>
      <c r="E87" s="73"/>
      <c r="F87" s="74">
        <f>VLOOKUP(A87,'Imposto de Renda'!A:N,14,0)</f>
        <v>-0.05</v>
      </c>
    </row>
    <row r="88" spans="1:6" x14ac:dyDescent="0.25">
      <c r="A88" s="1">
        <f t="shared" si="9"/>
        <v>44317</v>
      </c>
      <c r="B88" s="100"/>
      <c r="C88" s="53" t="s">
        <v>1889</v>
      </c>
      <c r="D88" s="75"/>
      <c r="E88" s="71"/>
      <c r="F88" s="74">
        <f>VLOOKUP(A88,'Imposto de Renda'!A:Q,17,0)+VLOOKUP(A88,'Imposto de Renda Day Trade'!A:O,15,0)</f>
        <v>0</v>
      </c>
    </row>
    <row r="89" spans="1:6" x14ac:dyDescent="0.25">
      <c r="A89" s="1">
        <f t="shared" ref="A89" si="10">EDATE(A72,1)</f>
        <v>44348</v>
      </c>
      <c r="B89" s="100">
        <f t="shared" ref="B89" si="11">A89</f>
        <v>44348</v>
      </c>
      <c r="C89" s="49" t="s">
        <v>1874</v>
      </c>
      <c r="D89" s="103">
        <f>VLOOKUP(A89,'Imposto de Renda'!A:I,3,0)+VLOOKUP(A89,'Imposto de Renda'!A:I,4,0)+VLOOKUP(A89,'Imposto de Renda'!A:I,5,0)-VLOOKUP(A89,'Imposto de Renda'!A:I,9,0)</f>
        <v>0</v>
      </c>
      <c r="E89" s="103">
        <f>VLOOKUP(A89,'Imposto de Renda Day Trade'!A:H,2,0)+VLOOKUP(A89,'Imposto de Renda Day Trade'!A:H,3,0)+VLOOKUP(A89,'Imposto de Renda Day Trade'!A:H,4,0)</f>
        <v>0</v>
      </c>
      <c r="F89" s="76"/>
    </row>
    <row r="90" spans="1:6" x14ac:dyDescent="0.25">
      <c r="A90" s="1">
        <f t="shared" ref="A90:A105" si="12">A89</f>
        <v>44348</v>
      </c>
      <c r="B90" s="100"/>
      <c r="C90" s="49" t="s">
        <v>1875</v>
      </c>
      <c r="D90" s="104"/>
      <c r="E90" s="104"/>
      <c r="F90" s="77"/>
    </row>
    <row r="91" spans="1:6" x14ac:dyDescent="0.25">
      <c r="A91" s="1">
        <f t="shared" si="12"/>
        <v>44348</v>
      </c>
      <c r="B91" s="100"/>
      <c r="C91" s="49" t="s">
        <v>1876</v>
      </c>
      <c r="D91" s="105"/>
      <c r="E91" s="105"/>
      <c r="F91" s="77"/>
    </row>
    <row r="92" spans="1:6" x14ac:dyDescent="0.25">
      <c r="A92" s="1">
        <f t="shared" si="12"/>
        <v>44348</v>
      </c>
      <c r="B92" s="100"/>
      <c r="C92" s="49" t="s">
        <v>1877</v>
      </c>
      <c r="D92" s="103">
        <f>VLOOKUP(A92,'Imposto de Renda'!A:I,8,0)</f>
        <v>0</v>
      </c>
      <c r="E92" s="103">
        <f>VLOOKUP(A89,'Imposto de Renda Day Trade'!A:H,7,0)</f>
        <v>0</v>
      </c>
      <c r="F92" s="77"/>
    </row>
    <row r="93" spans="1:6" x14ac:dyDescent="0.25">
      <c r="A93" s="1">
        <f t="shared" si="12"/>
        <v>44348</v>
      </c>
      <c r="B93" s="100"/>
      <c r="C93" s="49" t="s">
        <v>1878</v>
      </c>
      <c r="D93" s="104"/>
      <c r="E93" s="104"/>
      <c r="F93" s="77"/>
    </row>
    <row r="94" spans="1:6" x14ac:dyDescent="0.25">
      <c r="A94" s="1">
        <f t="shared" si="12"/>
        <v>44348</v>
      </c>
      <c r="B94" s="100"/>
      <c r="C94" s="49" t="s">
        <v>1879</v>
      </c>
      <c r="D94" s="104"/>
      <c r="E94" s="104"/>
      <c r="F94" s="77"/>
    </row>
    <row r="95" spans="1:6" x14ac:dyDescent="0.25">
      <c r="A95" s="1">
        <f t="shared" si="12"/>
        <v>44348</v>
      </c>
      <c r="B95" s="100"/>
      <c r="C95" s="49" t="s">
        <v>1880</v>
      </c>
      <c r="D95" s="105"/>
      <c r="E95" s="105"/>
      <c r="F95" s="77"/>
    </row>
    <row r="96" spans="1:6" x14ac:dyDescent="0.25">
      <c r="A96" s="1">
        <f t="shared" si="12"/>
        <v>44348</v>
      </c>
      <c r="B96" s="100"/>
      <c r="C96" s="49" t="s">
        <v>1881</v>
      </c>
      <c r="D96" s="103">
        <f>VLOOKUP(A92,'Imposto de Renda'!A:I,6,0)</f>
        <v>0</v>
      </c>
      <c r="E96" s="103">
        <f>VLOOKUP(A89,'Imposto de Renda Day Trade'!A:H,5,0)</f>
        <v>0</v>
      </c>
      <c r="F96" s="77"/>
    </row>
    <row r="97" spans="1:6" x14ac:dyDescent="0.25">
      <c r="A97" s="1">
        <f t="shared" si="12"/>
        <v>44348</v>
      </c>
      <c r="B97" s="100"/>
      <c r="C97" s="49" t="s">
        <v>1882</v>
      </c>
      <c r="D97" s="104"/>
      <c r="E97" s="104"/>
      <c r="F97" s="77"/>
    </row>
    <row r="98" spans="1:6" x14ac:dyDescent="0.25">
      <c r="A98" s="1">
        <f t="shared" si="12"/>
        <v>44348</v>
      </c>
      <c r="B98" s="100"/>
      <c r="C98" s="49" t="s">
        <v>1883</v>
      </c>
      <c r="D98" s="104"/>
      <c r="E98" s="104"/>
      <c r="F98" s="77"/>
    </row>
    <row r="99" spans="1:6" x14ac:dyDescent="0.25">
      <c r="A99" s="1">
        <f t="shared" si="12"/>
        <v>44348</v>
      </c>
      <c r="B99" s="100"/>
      <c r="C99" s="49" t="s">
        <v>1884</v>
      </c>
      <c r="D99" s="105"/>
      <c r="E99" s="105"/>
      <c r="F99" s="77"/>
    </row>
    <row r="100" spans="1:6" x14ac:dyDescent="0.25">
      <c r="A100" s="1">
        <f t="shared" si="12"/>
        <v>44348</v>
      </c>
      <c r="B100" s="100"/>
      <c r="C100" s="49" t="s">
        <v>1885</v>
      </c>
      <c r="D100" s="103">
        <f>VLOOKUP(A92,'Imposto de Renda'!A:I,7,0)</f>
        <v>0</v>
      </c>
      <c r="E100" s="103">
        <f>VLOOKUP(A89,'Imposto de Renda Day Trade'!A:H,6,0)</f>
        <v>0</v>
      </c>
      <c r="F100" s="77"/>
    </row>
    <row r="101" spans="1:6" x14ac:dyDescent="0.25">
      <c r="A101" s="1">
        <f t="shared" si="12"/>
        <v>44348</v>
      </c>
      <c r="B101" s="100"/>
      <c r="C101" s="49" t="s">
        <v>1886</v>
      </c>
      <c r="D101" s="104"/>
      <c r="E101" s="104"/>
      <c r="F101" s="77"/>
    </row>
    <row r="102" spans="1:6" x14ac:dyDescent="0.25">
      <c r="A102" s="1">
        <f t="shared" si="12"/>
        <v>44348</v>
      </c>
      <c r="B102" s="100"/>
      <c r="C102" s="49" t="s">
        <v>1887</v>
      </c>
      <c r="D102" s="79"/>
      <c r="E102" s="80"/>
      <c r="F102" s="81"/>
    </row>
    <row r="103" spans="1:6" x14ac:dyDescent="0.25">
      <c r="A103" s="1">
        <f t="shared" si="12"/>
        <v>44348</v>
      </c>
      <c r="B103" s="100"/>
      <c r="C103" s="49" t="s">
        <v>1888</v>
      </c>
      <c r="D103" s="82"/>
      <c r="E103" s="83"/>
      <c r="F103" s="81">
        <f>VLOOKUP(A103,'Imposto de Renda Day Trade'!A:L,12,0)</f>
        <v>0</v>
      </c>
    </row>
    <row r="104" spans="1:6" x14ac:dyDescent="0.25">
      <c r="A104" s="1">
        <f t="shared" si="12"/>
        <v>44348</v>
      </c>
      <c r="B104" s="100"/>
      <c r="C104" s="49" t="s">
        <v>82</v>
      </c>
      <c r="D104" s="82"/>
      <c r="E104" s="83"/>
      <c r="F104" s="84">
        <f>VLOOKUP(A104,'Imposto de Renda'!A:N,14,0)</f>
        <v>0</v>
      </c>
    </row>
    <row r="105" spans="1:6" x14ac:dyDescent="0.25">
      <c r="A105" s="1">
        <f t="shared" si="12"/>
        <v>44348</v>
      </c>
      <c r="B105" s="100"/>
      <c r="C105" s="49" t="s">
        <v>1889</v>
      </c>
      <c r="D105" s="85"/>
      <c r="E105" s="81"/>
      <c r="F105" s="84">
        <f>VLOOKUP(A105,'Imposto de Renda'!A:Q,17,0)+VLOOKUP(A105,'Imposto de Renda Day Trade'!A:O,15,0)</f>
        <v>0</v>
      </c>
    </row>
    <row r="106" spans="1:6" x14ac:dyDescent="0.25">
      <c r="A106" s="1">
        <f t="shared" ref="A106" si="13">EDATE(A89,1)</f>
        <v>44378</v>
      </c>
      <c r="B106" s="100">
        <f t="shared" ref="B106" si="14">A106</f>
        <v>44378</v>
      </c>
      <c r="C106" s="53" t="s">
        <v>1874</v>
      </c>
      <c r="D106" s="101">
        <f>VLOOKUP(A106,'Imposto de Renda'!A:I,3,0)+VLOOKUP(A106,'Imposto de Renda'!A:I,4,0)+VLOOKUP(A106,'Imposto de Renda'!A:I,5,0)-VLOOKUP(A106,'Imposto de Renda'!A:I,9,0)</f>
        <v>0</v>
      </c>
      <c r="E106" s="101">
        <f>VLOOKUP(A106,'Imposto de Renda Day Trade'!A:H,2,0)+VLOOKUP(A106,'Imposto de Renda Day Trade'!A:H,3,0)+VLOOKUP(A106,'Imposto de Renda Day Trade'!A:H,4,0)</f>
        <v>63.14</v>
      </c>
      <c r="F106" s="66"/>
    </row>
    <row r="107" spans="1:6" x14ac:dyDescent="0.25">
      <c r="A107" s="1">
        <f t="shared" ref="A107:A122" si="15">A106</f>
        <v>44378</v>
      </c>
      <c r="B107" s="100"/>
      <c r="C107" s="53" t="s">
        <v>1875</v>
      </c>
      <c r="D107" s="106"/>
      <c r="E107" s="106"/>
      <c r="F107" s="67"/>
    </row>
    <row r="108" spans="1:6" x14ac:dyDescent="0.25">
      <c r="A108" s="1">
        <f t="shared" si="15"/>
        <v>44378</v>
      </c>
      <c r="B108" s="100"/>
      <c r="C108" s="53" t="s">
        <v>1876</v>
      </c>
      <c r="D108" s="102"/>
      <c r="E108" s="102"/>
      <c r="F108" s="67"/>
    </row>
    <row r="109" spans="1:6" x14ac:dyDescent="0.25">
      <c r="A109" s="1">
        <f t="shared" si="15"/>
        <v>44378</v>
      </c>
      <c r="B109" s="100"/>
      <c r="C109" s="53" t="s">
        <v>1877</v>
      </c>
      <c r="D109" s="101">
        <f>VLOOKUP(A109,'Imposto de Renda'!A:I,8,0)</f>
        <v>0</v>
      </c>
      <c r="E109" s="101">
        <f>VLOOKUP(A106,'Imposto de Renda Day Trade'!A:H,7,0)</f>
        <v>0</v>
      </c>
      <c r="F109" s="67"/>
    </row>
    <row r="110" spans="1:6" x14ac:dyDescent="0.25">
      <c r="A110" s="1">
        <f t="shared" si="15"/>
        <v>44378</v>
      </c>
      <c r="B110" s="100"/>
      <c r="C110" s="53" t="s">
        <v>1878</v>
      </c>
      <c r="D110" s="106"/>
      <c r="E110" s="106"/>
      <c r="F110" s="67"/>
    </row>
    <row r="111" spans="1:6" x14ac:dyDescent="0.25">
      <c r="A111" s="1">
        <f t="shared" si="15"/>
        <v>44378</v>
      </c>
      <c r="B111" s="100"/>
      <c r="C111" s="53" t="s">
        <v>1879</v>
      </c>
      <c r="D111" s="106"/>
      <c r="E111" s="106"/>
      <c r="F111" s="67"/>
    </row>
    <row r="112" spans="1:6" x14ac:dyDescent="0.25">
      <c r="A112" s="1">
        <f t="shared" si="15"/>
        <v>44378</v>
      </c>
      <c r="B112" s="100"/>
      <c r="C112" s="53" t="s">
        <v>1880</v>
      </c>
      <c r="D112" s="102"/>
      <c r="E112" s="102"/>
      <c r="F112" s="67"/>
    </row>
    <row r="113" spans="1:6" x14ac:dyDescent="0.25">
      <c r="A113" s="1">
        <f t="shared" si="15"/>
        <v>44378</v>
      </c>
      <c r="B113" s="100"/>
      <c r="C113" s="53" t="s">
        <v>1881</v>
      </c>
      <c r="D113" s="101">
        <f>VLOOKUP(A109,'Imposto de Renda'!A:I,6,0)</f>
        <v>0</v>
      </c>
      <c r="E113" s="101">
        <f>VLOOKUP(A106,'Imposto de Renda Day Trade'!A:H,5,0)</f>
        <v>0</v>
      </c>
      <c r="F113" s="67"/>
    </row>
    <row r="114" spans="1:6" x14ac:dyDescent="0.25">
      <c r="A114" s="1">
        <f t="shared" si="15"/>
        <v>44378</v>
      </c>
      <c r="B114" s="100"/>
      <c r="C114" s="53" t="s">
        <v>1882</v>
      </c>
      <c r="D114" s="106"/>
      <c r="E114" s="106"/>
      <c r="F114" s="67"/>
    </row>
    <row r="115" spans="1:6" x14ac:dyDescent="0.25">
      <c r="A115" s="1">
        <f t="shared" si="15"/>
        <v>44378</v>
      </c>
      <c r="B115" s="100"/>
      <c r="C115" s="53" t="s">
        <v>1883</v>
      </c>
      <c r="D115" s="106"/>
      <c r="E115" s="106"/>
      <c r="F115" s="67"/>
    </row>
    <row r="116" spans="1:6" x14ac:dyDescent="0.25">
      <c r="A116" s="1">
        <f t="shared" si="15"/>
        <v>44378</v>
      </c>
      <c r="B116" s="100"/>
      <c r="C116" s="53" t="s">
        <v>1884</v>
      </c>
      <c r="D116" s="102"/>
      <c r="E116" s="102"/>
      <c r="F116" s="67"/>
    </row>
    <row r="117" spans="1:6" x14ac:dyDescent="0.25">
      <c r="A117" s="1">
        <f t="shared" si="15"/>
        <v>44378</v>
      </c>
      <c r="B117" s="100"/>
      <c r="C117" s="53" t="s">
        <v>1885</v>
      </c>
      <c r="D117" s="101">
        <f>VLOOKUP(A109,'Imposto de Renda'!A:I,7,0)</f>
        <v>0</v>
      </c>
      <c r="E117" s="101">
        <f>VLOOKUP(A106,'Imposto de Renda Day Trade'!A:H,6,0)</f>
        <v>0</v>
      </c>
      <c r="F117" s="67"/>
    </row>
    <row r="118" spans="1:6" x14ac:dyDescent="0.25">
      <c r="A118" s="1">
        <f t="shared" si="15"/>
        <v>44378</v>
      </c>
      <c r="B118" s="100"/>
      <c r="C118" s="53" t="s">
        <v>1886</v>
      </c>
      <c r="D118" s="106"/>
      <c r="E118" s="106"/>
      <c r="F118" s="67"/>
    </row>
    <row r="119" spans="1:6" x14ac:dyDescent="0.25">
      <c r="A119" s="1">
        <f t="shared" si="15"/>
        <v>44378</v>
      </c>
      <c r="B119" s="100"/>
      <c r="C119" s="53" t="s">
        <v>1887</v>
      </c>
      <c r="D119" s="68"/>
      <c r="E119" s="70"/>
      <c r="F119" s="71"/>
    </row>
    <row r="120" spans="1:6" x14ac:dyDescent="0.25">
      <c r="A120" s="1">
        <f t="shared" si="15"/>
        <v>44378</v>
      </c>
      <c r="B120" s="100"/>
      <c r="C120" s="53" t="s">
        <v>1888</v>
      </c>
      <c r="D120" s="72"/>
      <c r="E120" s="73"/>
      <c r="F120" s="71">
        <f>VLOOKUP(A120,'Imposto de Renda Day Trade'!A:L,12,0)</f>
        <v>-0.54</v>
      </c>
    </row>
    <row r="121" spans="1:6" x14ac:dyDescent="0.25">
      <c r="A121" s="1">
        <f t="shared" si="15"/>
        <v>44378</v>
      </c>
      <c r="B121" s="100"/>
      <c r="C121" s="53" t="s">
        <v>82</v>
      </c>
      <c r="D121" s="72"/>
      <c r="E121" s="73"/>
      <c r="F121" s="74">
        <f>VLOOKUP(A121,'Imposto de Renda'!A:N,14,0)</f>
        <v>-0.25</v>
      </c>
    </row>
    <row r="122" spans="1:6" x14ac:dyDescent="0.25">
      <c r="A122" s="1">
        <f t="shared" si="15"/>
        <v>44378</v>
      </c>
      <c r="B122" s="100"/>
      <c r="C122" s="53" t="s">
        <v>1889</v>
      </c>
      <c r="D122" s="75"/>
      <c r="E122" s="71"/>
      <c r="F122" s="74">
        <f>VLOOKUP(A122,'Imposto de Renda'!A:Q,17,0)+VLOOKUP(A122,'Imposto de Renda Day Trade'!A:O,15,0)</f>
        <v>0</v>
      </c>
    </row>
    <row r="123" spans="1:6" x14ac:dyDescent="0.25">
      <c r="A123" s="1">
        <f t="shared" ref="A123" si="16">EDATE(A106,1)</f>
        <v>44409</v>
      </c>
      <c r="B123" s="100">
        <f t="shared" ref="B123" si="17">A123</f>
        <v>44409</v>
      </c>
      <c r="C123" s="49" t="s">
        <v>1874</v>
      </c>
      <c r="D123" s="103">
        <f>VLOOKUP(A123,'Imposto de Renda'!A:I,3,0)+VLOOKUP(A123,'Imposto de Renda'!A:I,4,0)+VLOOKUP(A123,'Imposto de Renda'!A:I,5,0)-VLOOKUP(A123,'Imposto de Renda'!A:I,9,0)</f>
        <v>0</v>
      </c>
      <c r="E123" s="103">
        <f>VLOOKUP(A123,'Imposto de Renda Day Trade'!A:H,2,0)+VLOOKUP(A123,'Imposto de Renda Day Trade'!A:H,3,0)+VLOOKUP(A123,'Imposto de Renda Day Trade'!A:H,4,0)</f>
        <v>0</v>
      </c>
      <c r="F123" s="76"/>
    </row>
    <row r="124" spans="1:6" x14ac:dyDescent="0.25">
      <c r="A124" s="1">
        <f t="shared" ref="A124:A139" si="18">A123</f>
        <v>44409</v>
      </c>
      <c r="B124" s="100"/>
      <c r="C124" s="49" t="s">
        <v>1875</v>
      </c>
      <c r="D124" s="104"/>
      <c r="E124" s="104"/>
      <c r="F124" s="77"/>
    </row>
    <row r="125" spans="1:6" x14ac:dyDescent="0.25">
      <c r="A125" s="1">
        <f t="shared" si="18"/>
        <v>44409</v>
      </c>
      <c r="B125" s="100"/>
      <c r="C125" s="49" t="s">
        <v>1876</v>
      </c>
      <c r="D125" s="105"/>
      <c r="E125" s="105"/>
      <c r="F125" s="77"/>
    </row>
    <row r="126" spans="1:6" x14ac:dyDescent="0.25">
      <c r="A126" s="1">
        <f t="shared" si="18"/>
        <v>44409</v>
      </c>
      <c r="B126" s="100"/>
      <c r="C126" s="49" t="s">
        <v>1877</v>
      </c>
      <c r="D126" s="103">
        <f>VLOOKUP(A126,'Imposto de Renda'!A:I,8,0)</f>
        <v>0</v>
      </c>
      <c r="E126" s="103">
        <f>VLOOKUP(A123,'Imposto de Renda Day Trade'!A:H,7,0)</f>
        <v>0</v>
      </c>
      <c r="F126" s="77"/>
    </row>
    <row r="127" spans="1:6" x14ac:dyDescent="0.25">
      <c r="A127" s="1">
        <f t="shared" si="18"/>
        <v>44409</v>
      </c>
      <c r="B127" s="100"/>
      <c r="C127" s="49" t="s">
        <v>1878</v>
      </c>
      <c r="D127" s="104"/>
      <c r="E127" s="104"/>
      <c r="F127" s="77"/>
    </row>
    <row r="128" spans="1:6" x14ac:dyDescent="0.25">
      <c r="A128" s="1">
        <f t="shared" si="18"/>
        <v>44409</v>
      </c>
      <c r="B128" s="100"/>
      <c r="C128" s="49" t="s">
        <v>1879</v>
      </c>
      <c r="D128" s="104"/>
      <c r="E128" s="104"/>
      <c r="F128" s="77"/>
    </row>
    <row r="129" spans="1:6" x14ac:dyDescent="0.25">
      <c r="A129" s="1">
        <f t="shared" si="18"/>
        <v>44409</v>
      </c>
      <c r="B129" s="100"/>
      <c r="C129" s="49" t="s">
        <v>1880</v>
      </c>
      <c r="D129" s="105"/>
      <c r="E129" s="105"/>
      <c r="F129" s="77"/>
    </row>
    <row r="130" spans="1:6" x14ac:dyDescent="0.25">
      <c r="A130" s="1">
        <f t="shared" si="18"/>
        <v>44409</v>
      </c>
      <c r="B130" s="100"/>
      <c r="C130" s="49" t="s">
        <v>1881</v>
      </c>
      <c r="D130" s="103">
        <f>VLOOKUP(A126,'Imposto de Renda'!A:I,6,0)</f>
        <v>0</v>
      </c>
      <c r="E130" s="103">
        <f>VLOOKUP(A123,'Imposto de Renda Day Trade'!A:H,5,0)</f>
        <v>0</v>
      </c>
      <c r="F130" s="77"/>
    </row>
    <row r="131" spans="1:6" x14ac:dyDescent="0.25">
      <c r="A131" s="1">
        <f t="shared" si="18"/>
        <v>44409</v>
      </c>
      <c r="B131" s="100"/>
      <c r="C131" s="49" t="s">
        <v>1882</v>
      </c>
      <c r="D131" s="104"/>
      <c r="E131" s="104"/>
      <c r="F131" s="77"/>
    </row>
    <row r="132" spans="1:6" x14ac:dyDescent="0.25">
      <c r="A132" s="1">
        <f t="shared" si="18"/>
        <v>44409</v>
      </c>
      <c r="B132" s="100"/>
      <c r="C132" s="49" t="s">
        <v>1883</v>
      </c>
      <c r="D132" s="104"/>
      <c r="E132" s="104"/>
      <c r="F132" s="77"/>
    </row>
    <row r="133" spans="1:6" x14ac:dyDescent="0.25">
      <c r="A133" s="1">
        <f t="shared" si="18"/>
        <v>44409</v>
      </c>
      <c r="B133" s="100"/>
      <c r="C133" s="49" t="s">
        <v>1884</v>
      </c>
      <c r="D133" s="105"/>
      <c r="E133" s="105"/>
      <c r="F133" s="77"/>
    </row>
    <row r="134" spans="1:6" x14ac:dyDescent="0.25">
      <c r="A134" s="1">
        <f t="shared" si="18"/>
        <v>44409</v>
      </c>
      <c r="B134" s="100"/>
      <c r="C134" s="49" t="s">
        <v>1885</v>
      </c>
      <c r="D134" s="103">
        <f>VLOOKUP(A126,'Imposto de Renda'!A:I,7,0)</f>
        <v>0</v>
      </c>
      <c r="E134" s="103">
        <f>VLOOKUP(A123,'Imposto de Renda Day Trade'!A:H,6,0)</f>
        <v>0</v>
      </c>
      <c r="F134" s="77"/>
    </row>
    <row r="135" spans="1:6" x14ac:dyDescent="0.25">
      <c r="A135" s="1">
        <f t="shared" si="18"/>
        <v>44409</v>
      </c>
      <c r="B135" s="100"/>
      <c r="C135" s="49" t="s">
        <v>1886</v>
      </c>
      <c r="D135" s="104"/>
      <c r="E135" s="104"/>
      <c r="F135" s="77"/>
    </row>
    <row r="136" spans="1:6" x14ac:dyDescent="0.25">
      <c r="A136" s="1">
        <f t="shared" si="18"/>
        <v>44409</v>
      </c>
      <c r="B136" s="100"/>
      <c r="C136" s="49" t="s">
        <v>1887</v>
      </c>
      <c r="D136" s="79"/>
      <c r="E136" s="80"/>
      <c r="F136" s="81"/>
    </row>
    <row r="137" spans="1:6" x14ac:dyDescent="0.25">
      <c r="A137" s="1">
        <f t="shared" si="18"/>
        <v>44409</v>
      </c>
      <c r="B137" s="100"/>
      <c r="C137" s="49" t="s">
        <v>1888</v>
      </c>
      <c r="D137" s="82"/>
      <c r="E137" s="83"/>
      <c r="F137" s="81">
        <f>VLOOKUP(A137,'Imposto de Renda Day Trade'!A:L,12,0)</f>
        <v>0</v>
      </c>
    </row>
    <row r="138" spans="1:6" x14ac:dyDescent="0.25">
      <c r="A138" s="1">
        <f t="shared" si="18"/>
        <v>44409</v>
      </c>
      <c r="B138" s="100"/>
      <c r="C138" s="49" t="s">
        <v>82</v>
      </c>
      <c r="D138" s="82"/>
      <c r="E138" s="83"/>
      <c r="F138" s="84">
        <f>VLOOKUP(A138,'Imposto de Renda'!A:N,14,0)</f>
        <v>0</v>
      </c>
    </row>
    <row r="139" spans="1:6" x14ac:dyDescent="0.25">
      <c r="A139" s="1">
        <f t="shared" si="18"/>
        <v>44409</v>
      </c>
      <c r="B139" s="100"/>
      <c r="C139" s="49" t="s">
        <v>1889</v>
      </c>
      <c r="D139" s="85"/>
      <c r="E139" s="81"/>
      <c r="F139" s="84">
        <f>VLOOKUP(A139,'Imposto de Renda'!A:Q,17,0)+VLOOKUP(A139,'Imposto de Renda Day Trade'!A:O,15,0)</f>
        <v>0</v>
      </c>
    </row>
    <row r="140" spans="1:6" x14ac:dyDescent="0.25">
      <c r="A140" s="1">
        <f t="shared" ref="A140" si="19">EDATE(A123,1)</f>
        <v>44440</v>
      </c>
      <c r="B140" s="100">
        <f t="shared" ref="B140" si="20">A140</f>
        <v>44440</v>
      </c>
      <c r="C140" s="53" t="s">
        <v>1874</v>
      </c>
      <c r="D140" s="101">
        <f>VLOOKUP(A140,'Imposto de Renda'!A:I,3,0)+VLOOKUP(A140,'Imposto de Renda'!A:I,4,0)+VLOOKUP(A140,'Imposto de Renda'!A:I,5,0)-VLOOKUP(A140,'Imposto de Renda'!A:I,9,0)</f>
        <v>0</v>
      </c>
      <c r="E140" s="101">
        <f>VLOOKUP(A140,'Imposto de Renda Day Trade'!A:H,2,0)+VLOOKUP(A140,'Imposto de Renda Day Trade'!A:H,3,0)+VLOOKUP(A140,'Imposto de Renda Day Trade'!A:H,4,0)</f>
        <v>0</v>
      </c>
      <c r="F140" s="66"/>
    </row>
    <row r="141" spans="1:6" x14ac:dyDescent="0.25">
      <c r="A141" s="1">
        <f t="shared" ref="A141:A156" si="21">A140</f>
        <v>44440</v>
      </c>
      <c r="B141" s="100"/>
      <c r="C141" s="53" t="s">
        <v>1875</v>
      </c>
      <c r="D141" s="106"/>
      <c r="E141" s="106"/>
      <c r="F141" s="67"/>
    </row>
    <row r="142" spans="1:6" x14ac:dyDescent="0.25">
      <c r="A142" s="1">
        <f t="shared" si="21"/>
        <v>44440</v>
      </c>
      <c r="B142" s="100"/>
      <c r="C142" s="53" t="s">
        <v>1876</v>
      </c>
      <c r="D142" s="102"/>
      <c r="E142" s="102"/>
      <c r="F142" s="67"/>
    </row>
    <row r="143" spans="1:6" x14ac:dyDescent="0.25">
      <c r="A143" s="1">
        <f t="shared" si="21"/>
        <v>44440</v>
      </c>
      <c r="B143" s="100"/>
      <c r="C143" s="53" t="s">
        <v>1877</v>
      </c>
      <c r="D143" s="101">
        <f>VLOOKUP(A143,'Imposto de Renda'!A:I,8,0)</f>
        <v>0</v>
      </c>
      <c r="E143" s="101">
        <f>VLOOKUP(A140,'Imposto de Renda Day Trade'!A:H,7,0)</f>
        <v>0</v>
      </c>
      <c r="F143" s="67"/>
    </row>
    <row r="144" spans="1:6" x14ac:dyDescent="0.25">
      <c r="A144" s="1">
        <f t="shared" si="21"/>
        <v>44440</v>
      </c>
      <c r="B144" s="100"/>
      <c r="C144" s="53" t="s">
        <v>1878</v>
      </c>
      <c r="D144" s="106"/>
      <c r="E144" s="106"/>
      <c r="F144" s="67"/>
    </row>
    <row r="145" spans="1:6" x14ac:dyDescent="0.25">
      <c r="A145" s="1">
        <f t="shared" si="21"/>
        <v>44440</v>
      </c>
      <c r="B145" s="100"/>
      <c r="C145" s="53" t="s">
        <v>1879</v>
      </c>
      <c r="D145" s="106"/>
      <c r="E145" s="106"/>
      <c r="F145" s="67"/>
    </row>
    <row r="146" spans="1:6" x14ac:dyDescent="0.25">
      <c r="A146" s="1">
        <f t="shared" si="21"/>
        <v>44440</v>
      </c>
      <c r="B146" s="100"/>
      <c r="C146" s="53" t="s">
        <v>1880</v>
      </c>
      <c r="D146" s="102"/>
      <c r="E146" s="102"/>
      <c r="F146" s="67"/>
    </row>
    <row r="147" spans="1:6" x14ac:dyDescent="0.25">
      <c r="A147" s="1">
        <f t="shared" si="21"/>
        <v>44440</v>
      </c>
      <c r="B147" s="100"/>
      <c r="C147" s="53" t="s">
        <v>1881</v>
      </c>
      <c r="D147" s="101">
        <f>VLOOKUP(A143,'Imposto de Renda'!A:I,6,0)</f>
        <v>0</v>
      </c>
      <c r="E147" s="101">
        <f>VLOOKUP(A140,'Imposto de Renda Day Trade'!A:H,5,0)</f>
        <v>0</v>
      </c>
      <c r="F147" s="67"/>
    </row>
    <row r="148" spans="1:6" x14ac:dyDescent="0.25">
      <c r="A148" s="1">
        <f t="shared" si="21"/>
        <v>44440</v>
      </c>
      <c r="B148" s="100"/>
      <c r="C148" s="53" t="s">
        <v>1882</v>
      </c>
      <c r="D148" s="106"/>
      <c r="E148" s="106"/>
      <c r="F148" s="67"/>
    </row>
    <row r="149" spans="1:6" x14ac:dyDescent="0.25">
      <c r="A149" s="1">
        <f t="shared" si="21"/>
        <v>44440</v>
      </c>
      <c r="B149" s="100"/>
      <c r="C149" s="53" t="s">
        <v>1883</v>
      </c>
      <c r="D149" s="106"/>
      <c r="E149" s="106"/>
      <c r="F149" s="67"/>
    </row>
    <row r="150" spans="1:6" x14ac:dyDescent="0.25">
      <c r="A150" s="1">
        <f t="shared" si="21"/>
        <v>44440</v>
      </c>
      <c r="B150" s="100"/>
      <c r="C150" s="53" t="s">
        <v>1884</v>
      </c>
      <c r="D150" s="102"/>
      <c r="E150" s="102"/>
      <c r="F150" s="67"/>
    </row>
    <row r="151" spans="1:6" x14ac:dyDescent="0.25">
      <c r="A151" s="1">
        <f t="shared" si="21"/>
        <v>44440</v>
      </c>
      <c r="B151" s="100"/>
      <c r="C151" s="53" t="s">
        <v>1885</v>
      </c>
      <c r="D151" s="101">
        <f>VLOOKUP(A143,'Imposto de Renda'!A:I,7,0)</f>
        <v>0</v>
      </c>
      <c r="E151" s="101">
        <f>VLOOKUP(A140,'Imposto de Renda Day Trade'!A:H,6,0)</f>
        <v>0</v>
      </c>
      <c r="F151" s="67"/>
    </row>
    <row r="152" spans="1:6" x14ac:dyDescent="0.25">
      <c r="A152" s="1">
        <f t="shared" si="21"/>
        <v>44440</v>
      </c>
      <c r="B152" s="100"/>
      <c r="C152" s="53" t="s">
        <v>1886</v>
      </c>
      <c r="D152" s="106"/>
      <c r="E152" s="106"/>
      <c r="F152" s="67"/>
    </row>
    <row r="153" spans="1:6" x14ac:dyDescent="0.25">
      <c r="A153" s="1">
        <f t="shared" si="21"/>
        <v>44440</v>
      </c>
      <c r="B153" s="100"/>
      <c r="C153" s="53" t="s">
        <v>1887</v>
      </c>
      <c r="D153" s="68"/>
      <c r="E153" s="70"/>
      <c r="F153" s="71"/>
    </row>
    <row r="154" spans="1:6" x14ac:dyDescent="0.25">
      <c r="A154" s="1">
        <f t="shared" si="21"/>
        <v>44440</v>
      </c>
      <c r="B154" s="100"/>
      <c r="C154" s="53" t="s">
        <v>1888</v>
      </c>
      <c r="D154" s="72"/>
      <c r="E154" s="73"/>
      <c r="F154" s="71">
        <f>VLOOKUP(A154,'Imposto de Renda Day Trade'!A:L,12,0)</f>
        <v>0</v>
      </c>
    </row>
    <row r="155" spans="1:6" x14ac:dyDescent="0.25">
      <c r="A155" s="1">
        <f t="shared" si="21"/>
        <v>44440</v>
      </c>
      <c r="B155" s="100"/>
      <c r="C155" s="53" t="s">
        <v>82</v>
      </c>
      <c r="D155" s="72"/>
      <c r="E155" s="73"/>
      <c r="F155" s="74">
        <f>VLOOKUP(A155,'Imposto de Renda'!A:N,14,0)</f>
        <v>0</v>
      </c>
    </row>
    <row r="156" spans="1:6" x14ac:dyDescent="0.25">
      <c r="A156" s="1">
        <f t="shared" si="21"/>
        <v>44440</v>
      </c>
      <c r="B156" s="100"/>
      <c r="C156" s="53" t="s">
        <v>1889</v>
      </c>
      <c r="D156" s="75"/>
      <c r="E156" s="71"/>
      <c r="F156" s="74">
        <f>VLOOKUP(A156,'Imposto de Renda'!A:Q,17,0)+VLOOKUP(A156,'Imposto de Renda Day Trade'!A:O,15,0)</f>
        <v>0</v>
      </c>
    </row>
    <row r="157" spans="1:6" x14ac:dyDescent="0.25">
      <c r="A157" s="1">
        <f t="shared" ref="A157" si="22">EDATE(A140,1)</f>
        <v>44470</v>
      </c>
      <c r="B157" s="100">
        <f t="shared" ref="B157" si="23">A157</f>
        <v>44470</v>
      </c>
      <c r="C157" s="49" t="s">
        <v>1874</v>
      </c>
      <c r="D157" s="103">
        <f>VLOOKUP(A157,'Imposto de Renda'!A:I,3,0)+VLOOKUP(A157,'Imposto de Renda'!A:I,4,0)+VLOOKUP(A157,'Imposto de Renda'!A:I,5,0)-VLOOKUP(A157,'Imposto de Renda'!A:I,9,0)</f>
        <v>0</v>
      </c>
      <c r="E157" s="103">
        <f>VLOOKUP(A157,'Imposto de Renda Day Trade'!A:H,2,0)+VLOOKUP(A157,'Imposto de Renda Day Trade'!A:H,3,0)+VLOOKUP(A157,'Imposto de Renda Day Trade'!A:H,4,0)</f>
        <v>0</v>
      </c>
      <c r="F157" s="76"/>
    </row>
    <row r="158" spans="1:6" x14ac:dyDescent="0.25">
      <c r="A158" s="1">
        <f t="shared" ref="A158:A173" si="24">A157</f>
        <v>44470</v>
      </c>
      <c r="B158" s="100"/>
      <c r="C158" s="49" t="s">
        <v>1875</v>
      </c>
      <c r="D158" s="104"/>
      <c r="E158" s="104"/>
      <c r="F158" s="77"/>
    </row>
    <row r="159" spans="1:6" x14ac:dyDescent="0.25">
      <c r="A159" s="1">
        <f t="shared" si="24"/>
        <v>44470</v>
      </c>
      <c r="B159" s="100"/>
      <c r="C159" s="49" t="s">
        <v>1876</v>
      </c>
      <c r="D159" s="105"/>
      <c r="E159" s="105"/>
      <c r="F159" s="77"/>
    </row>
    <row r="160" spans="1:6" x14ac:dyDescent="0.25">
      <c r="A160" s="1">
        <f t="shared" si="24"/>
        <v>44470</v>
      </c>
      <c r="B160" s="100"/>
      <c r="C160" s="49" t="s">
        <v>1877</v>
      </c>
      <c r="D160" s="103">
        <f>VLOOKUP(A160,'Imposto de Renda'!A:I,8,0)</f>
        <v>0</v>
      </c>
      <c r="E160" s="103">
        <f>VLOOKUP(A157,'Imposto de Renda Day Trade'!A:H,7,0)</f>
        <v>0</v>
      </c>
      <c r="F160" s="77"/>
    </row>
    <row r="161" spans="1:6" x14ac:dyDescent="0.25">
      <c r="A161" s="1">
        <f t="shared" si="24"/>
        <v>44470</v>
      </c>
      <c r="B161" s="100"/>
      <c r="C161" s="49" t="s">
        <v>1878</v>
      </c>
      <c r="D161" s="104"/>
      <c r="E161" s="104"/>
      <c r="F161" s="77"/>
    </row>
    <row r="162" spans="1:6" x14ac:dyDescent="0.25">
      <c r="A162" s="1">
        <f t="shared" si="24"/>
        <v>44470</v>
      </c>
      <c r="B162" s="100"/>
      <c r="C162" s="49" t="s">
        <v>1879</v>
      </c>
      <c r="D162" s="104"/>
      <c r="E162" s="104"/>
      <c r="F162" s="77"/>
    </row>
    <row r="163" spans="1:6" x14ac:dyDescent="0.25">
      <c r="A163" s="1">
        <f t="shared" si="24"/>
        <v>44470</v>
      </c>
      <c r="B163" s="100"/>
      <c r="C163" s="49" t="s">
        <v>1880</v>
      </c>
      <c r="D163" s="105"/>
      <c r="E163" s="105"/>
      <c r="F163" s="77"/>
    </row>
    <row r="164" spans="1:6" x14ac:dyDescent="0.25">
      <c r="A164" s="1">
        <f t="shared" si="24"/>
        <v>44470</v>
      </c>
      <c r="B164" s="100"/>
      <c r="C164" s="49" t="s">
        <v>1881</v>
      </c>
      <c r="D164" s="103">
        <f>VLOOKUP(A160,'Imposto de Renda'!A:I,6,0)</f>
        <v>0</v>
      </c>
      <c r="E164" s="103">
        <f>VLOOKUP(A157,'Imposto de Renda Day Trade'!A:H,5,0)</f>
        <v>0</v>
      </c>
      <c r="F164" s="77"/>
    </row>
    <row r="165" spans="1:6" x14ac:dyDescent="0.25">
      <c r="A165" s="1">
        <f t="shared" si="24"/>
        <v>44470</v>
      </c>
      <c r="B165" s="100"/>
      <c r="C165" s="49" t="s">
        <v>1882</v>
      </c>
      <c r="D165" s="104"/>
      <c r="E165" s="104"/>
      <c r="F165" s="77"/>
    </row>
    <row r="166" spans="1:6" x14ac:dyDescent="0.25">
      <c r="A166" s="1">
        <f t="shared" si="24"/>
        <v>44470</v>
      </c>
      <c r="B166" s="100"/>
      <c r="C166" s="49" t="s">
        <v>1883</v>
      </c>
      <c r="D166" s="104"/>
      <c r="E166" s="104"/>
      <c r="F166" s="77"/>
    </row>
    <row r="167" spans="1:6" x14ac:dyDescent="0.25">
      <c r="A167" s="1">
        <f t="shared" si="24"/>
        <v>44470</v>
      </c>
      <c r="B167" s="100"/>
      <c r="C167" s="49" t="s">
        <v>1884</v>
      </c>
      <c r="D167" s="105"/>
      <c r="E167" s="105"/>
      <c r="F167" s="77"/>
    </row>
    <row r="168" spans="1:6" x14ac:dyDescent="0.25">
      <c r="A168" s="1">
        <f t="shared" si="24"/>
        <v>44470</v>
      </c>
      <c r="B168" s="100"/>
      <c r="C168" s="49" t="s">
        <v>1885</v>
      </c>
      <c r="D168" s="103">
        <f>VLOOKUP(A160,'Imposto de Renda'!A:I,7,0)</f>
        <v>0</v>
      </c>
      <c r="E168" s="103">
        <f>VLOOKUP(A157,'Imposto de Renda Day Trade'!A:H,6,0)</f>
        <v>0</v>
      </c>
      <c r="F168" s="77"/>
    </row>
    <row r="169" spans="1:6" x14ac:dyDescent="0.25">
      <c r="A169" s="1">
        <f t="shared" si="24"/>
        <v>44470</v>
      </c>
      <c r="B169" s="100"/>
      <c r="C169" s="49" t="s">
        <v>1886</v>
      </c>
      <c r="D169" s="104"/>
      <c r="E169" s="104"/>
      <c r="F169" s="77"/>
    </row>
    <row r="170" spans="1:6" x14ac:dyDescent="0.25">
      <c r="A170" s="1">
        <f t="shared" si="24"/>
        <v>44470</v>
      </c>
      <c r="B170" s="100"/>
      <c r="C170" s="49" t="s">
        <v>1887</v>
      </c>
      <c r="D170" s="79"/>
      <c r="E170" s="80"/>
      <c r="F170" s="81"/>
    </row>
    <row r="171" spans="1:6" x14ac:dyDescent="0.25">
      <c r="A171" s="1">
        <f t="shared" si="24"/>
        <v>44470</v>
      </c>
      <c r="B171" s="100"/>
      <c r="C171" s="49" t="s">
        <v>1888</v>
      </c>
      <c r="D171" s="82"/>
      <c r="E171" s="83"/>
      <c r="F171" s="81">
        <f>VLOOKUP(A171,'Imposto de Renda Day Trade'!A:L,12,0)</f>
        <v>0</v>
      </c>
    </row>
    <row r="172" spans="1:6" x14ac:dyDescent="0.25">
      <c r="A172" s="1">
        <f t="shared" si="24"/>
        <v>44470</v>
      </c>
      <c r="B172" s="100"/>
      <c r="C172" s="49" t="s">
        <v>82</v>
      </c>
      <c r="D172" s="82"/>
      <c r="E172" s="83"/>
      <c r="F172" s="84">
        <f>VLOOKUP(A172,'Imposto de Renda'!A:N,14,0)</f>
        <v>0</v>
      </c>
    </row>
    <row r="173" spans="1:6" x14ac:dyDescent="0.25">
      <c r="A173" s="1">
        <f t="shared" si="24"/>
        <v>44470</v>
      </c>
      <c r="B173" s="100"/>
      <c r="C173" s="49" t="s">
        <v>1889</v>
      </c>
      <c r="D173" s="85"/>
      <c r="E173" s="81"/>
      <c r="F173" s="84">
        <f>VLOOKUP(A173,'Imposto de Renda'!A:Q,17,0)+VLOOKUP(A173,'Imposto de Renda Day Trade'!A:O,15,0)</f>
        <v>0</v>
      </c>
    </row>
    <row r="174" spans="1:6" x14ac:dyDescent="0.25">
      <c r="A174" s="1">
        <f t="shared" ref="A174" si="25">EDATE(A157,1)</f>
        <v>44501</v>
      </c>
      <c r="B174" s="100">
        <f t="shared" ref="B174" si="26">A174</f>
        <v>44501</v>
      </c>
      <c r="C174" s="53" t="s">
        <v>1874</v>
      </c>
      <c r="D174" s="101">
        <f>VLOOKUP(A174,'Imposto de Renda'!A:I,3,0)+VLOOKUP(A174,'Imposto de Renda'!A:I,4,0)+VLOOKUP(A174,'Imposto de Renda'!A:I,5,0)-VLOOKUP(A174,'Imposto de Renda'!A:I,9,0)</f>
        <v>0</v>
      </c>
      <c r="E174" s="101">
        <f>VLOOKUP(A174,'Imposto de Renda Day Trade'!A:H,2,0)+VLOOKUP(A174,'Imposto de Renda Day Trade'!A:H,3,0)+VLOOKUP(A174,'Imposto de Renda Day Trade'!A:H,4,0)</f>
        <v>0</v>
      </c>
      <c r="F174" s="66"/>
    </row>
    <row r="175" spans="1:6" x14ac:dyDescent="0.25">
      <c r="A175" s="1">
        <f t="shared" ref="A175:A190" si="27">A174</f>
        <v>44501</v>
      </c>
      <c r="B175" s="100"/>
      <c r="C175" s="53" t="s">
        <v>1875</v>
      </c>
      <c r="D175" s="106"/>
      <c r="E175" s="106"/>
      <c r="F175" s="67"/>
    </row>
    <row r="176" spans="1:6" x14ac:dyDescent="0.25">
      <c r="A176" s="1">
        <f t="shared" si="27"/>
        <v>44501</v>
      </c>
      <c r="B176" s="100"/>
      <c r="C176" s="53" t="s">
        <v>1876</v>
      </c>
      <c r="D176" s="102"/>
      <c r="E176" s="102"/>
      <c r="F176" s="67"/>
    </row>
    <row r="177" spans="1:6" x14ac:dyDescent="0.25">
      <c r="A177" s="1">
        <f t="shared" si="27"/>
        <v>44501</v>
      </c>
      <c r="B177" s="100"/>
      <c r="C177" s="53" t="s">
        <v>1877</v>
      </c>
      <c r="D177" s="101">
        <f>VLOOKUP(A177,'Imposto de Renda'!A:I,8,0)</f>
        <v>0</v>
      </c>
      <c r="E177" s="101">
        <f>VLOOKUP(A174,'Imposto de Renda Day Trade'!A:H,7,0)</f>
        <v>0</v>
      </c>
      <c r="F177" s="67"/>
    </row>
    <row r="178" spans="1:6" x14ac:dyDescent="0.25">
      <c r="A178" s="1">
        <f t="shared" si="27"/>
        <v>44501</v>
      </c>
      <c r="B178" s="100"/>
      <c r="C178" s="53" t="s">
        <v>1878</v>
      </c>
      <c r="D178" s="106"/>
      <c r="E178" s="106"/>
      <c r="F178" s="67"/>
    </row>
    <row r="179" spans="1:6" x14ac:dyDescent="0.25">
      <c r="A179" s="1">
        <f t="shared" si="27"/>
        <v>44501</v>
      </c>
      <c r="B179" s="100"/>
      <c r="C179" s="53" t="s">
        <v>1879</v>
      </c>
      <c r="D179" s="106"/>
      <c r="E179" s="106"/>
      <c r="F179" s="67"/>
    </row>
    <row r="180" spans="1:6" x14ac:dyDescent="0.25">
      <c r="A180" s="1">
        <f t="shared" si="27"/>
        <v>44501</v>
      </c>
      <c r="B180" s="100"/>
      <c r="C180" s="53" t="s">
        <v>1880</v>
      </c>
      <c r="D180" s="102"/>
      <c r="E180" s="102"/>
      <c r="F180" s="67"/>
    </row>
    <row r="181" spans="1:6" x14ac:dyDescent="0.25">
      <c r="A181" s="1">
        <f t="shared" si="27"/>
        <v>44501</v>
      </c>
      <c r="B181" s="100"/>
      <c r="C181" s="53" t="s">
        <v>1881</v>
      </c>
      <c r="D181" s="101">
        <f>VLOOKUP(A177,'Imposto de Renda'!A:I,6,0)</f>
        <v>0</v>
      </c>
      <c r="E181" s="101">
        <f>VLOOKUP(A174,'Imposto de Renda Day Trade'!A:H,5,0)</f>
        <v>0</v>
      </c>
      <c r="F181" s="67"/>
    </row>
    <row r="182" spans="1:6" x14ac:dyDescent="0.25">
      <c r="A182" s="1">
        <f t="shared" si="27"/>
        <v>44501</v>
      </c>
      <c r="B182" s="100"/>
      <c r="C182" s="53" t="s">
        <v>1882</v>
      </c>
      <c r="D182" s="106"/>
      <c r="E182" s="106"/>
      <c r="F182" s="67"/>
    </row>
    <row r="183" spans="1:6" x14ac:dyDescent="0.25">
      <c r="A183" s="1">
        <f t="shared" si="27"/>
        <v>44501</v>
      </c>
      <c r="B183" s="100"/>
      <c r="C183" s="53" t="s">
        <v>1883</v>
      </c>
      <c r="D183" s="106"/>
      <c r="E183" s="106"/>
      <c r="F183" s="67"/>
    </row>
    <row r="184" spans="1:6" x14ac:dyDescent="0.25">
      <c r="A184" s="1">
        <f t="shared" si="27"/>
        <v>44501</v>
      </c>
      <c r="B184" s="100"/>
      <c r="C184" s="53" t="s">
        <v>1884</v>
      </c>
      <c r="D184" s="102"/>
      <c r="E184" s="102"/>
      <c r="F184" s="67"/>
    </row>
    <row r="185" spans="1:6" x14ac:dyDescent="0.25">
      <c r="A185" s="1">
        <f t="shared" si="27"/>
        <v>44501</v>
      </c>
      <c r="B185" s="100"/>
      <c r="C185" s="53" t="s">
        <v>1885</v>
      </c>
      <c r="D185" s="101">
        <f>VLOOKUP(A177,'Imposto de Renda'!A:I,7,0)</f>
        <v>0</v>
      </c>
      <c r="E185" s="101">
        <f>VLOOKUP(A174,'Imposto de Renda Day Trade'!A:H,6,0)</f>
        <v>0</v>
      </c>
      <c r="F185" s="67"/>
    </row>
    <row r="186" spans="1:6" x14ac:dyDescent="0.25">
      <c r="A186" s="1">
        <f t="shared" si="27"/>
        <v>44501</v>
      </c>
      <c r="B186" s="100"/>
      <c r="C186" s="53" t="s">
        <v>1886</v>
      </c>
      <c r="D186" s="106"/>
      <c r="E186" s="106"/>
      <c r="F186" s="67"/>
    </row>
    <row r="187" spans="1:6" x14ac:dyDescent="0.25">
      <c r="A187" s="1">
        <f t="shared" si="27"/>
        <v>44501</v>
      </c>
      <c r="B187" s="100"/>
      <c r="C187" s="53" t="s">
        <v>1887</v>
      </c>
      <c r="D187" s="68"/>
      <c r="E187" s="70"/>
      <c r="F187" s="71"/>
    </row>
    <row r="188" spans="1:6" x14ac:dyDescent="0.25">
      <c r="A188" s="1">
        <f t="shared" si="27"/>
        <v>44501</v>
      </c>
      <c r="B188" s="100"/>
      <c r="C188" s="53" t="s">
        <v>1888</v>
      </c>
      <c r="D188" s="72"/>
      <c r="E188" s="73"/>
      <c r="F188" s="71">
        <f>VLOOKUP(A188,'Imposto de Renda Day Trade'!A:L,12,0)</f>
        <v>0</v>
      </c>
    </row>
    <row r="189" spans="1:6" x14ac:dyDescent="0.25">
      <c r="A189" s="1">
        <f t="shared" si="27"/>
        <v>44501</v>
      </c>
      <c r="B189" s="100"/>
      <c r="C189" s="53" t="s">
        <v>82</v>
      </c>
      <c r="D189" s="72"/>
      <c r="E189" s="73"/>
      <c r="F189" s="74">
        <f>VLOOKUP(A189,'Imposto de Renda'!A:N,14,0)</f>
        <v>0</v>
      </c>
    </row>
    <row r="190" spans="1:6" x14ac:dyDescent="0.25">
      <c r="A190" s="1">
        <f t="shared" si="27"/>
        <v>44501</v>
      </c>
      <c r="B190" s="100"/>
      <c r="C190" s="53" t="s">
        <v>1889</v>
      </c>
      <c r="D190" s="75"/>
      <c r="E190" s="71"/>
      <c r="F190" s="74">
        <f>VLOOKUP(A190,'Imposto de Renda'!A:Q,17,0)+VLOOKUP(A190,'Imposto de Renda Day Trade'!A:O,15,0)</f>
        <v>0</v>
      </c>
    </row>
    <row r="191" spans="1:6" x14ac:dyDescent="0.25">
      <c r="A191" s="1">
        <f t="shared" ref="A191" si="28">EDATE(A174,1)</f>
        <v>44531</v>
      </c>
      <c r="B191" s="100">
        <f t="shared" ref="B191" si="29">A191</f>
        <v>44531</v>
      </c>
      <c r="C191" s="49" t="s">
        <v>1874</v>
      </c>
      <c r="D191" s="103">
        <f>VLOOKUP(A191,'Imposto de Renda'!A:I,3,0)+VLOOKUP(A191,'Imposto de Renda'!A:I,4,0)+VLOOKUP(A191,'Imposto de Renda'!A:I,5,0)-VLOOKUP(A191,'Imposto de Renda'!A:I,9,0)</f>
        <v>0</v>
      </c>
      <c r="E191" s="103">
        <f>VLOOKUP(A191,'Imposto de Renda Day Trade'!A:H,2,0)+VLOOKUP(A191,'Imposto de Renda Day Trade'!A:H,3,0)+VLOOKUP(A191,'Imposto de Renda Day Trade'!A:H,4,0)</f>
        <v>0</v>
      </c>
      <c r="F191" s="76"/>
    </row>
    <row r="192" spans="1:6" x14ac:dyDescent="0.25">
      <c r="A192" s="1">
        <f t="shared" ref="A192:A207" si="30">A191</f>
        <v>44531</v>
      </c>
      <c r="B192" s="100"/>
      <c r="C192" s="49" t="s">
        <v>1875</v>
      </c>
      <c r="D192" s="104"/>
      <c r="E192" s="104"/>
      <c r="F192" s="77"/>
    </row>
    <row r="193" spans="1:6" x14ac:dyDescent="0.25">
      <c r="A193" s="1">
        <f t="shared" si="30"/>
        <v>44531</v>
      </c>
      <c r="B193" s="100"/>
      <c r="C193" s="49" t="s">
        <v>1876</v>
      </c>
      <c r="D193" s="105"/>
      <c r="E193" s="105"/>
      <c r="F193" s="77"/>
    </row>
    <row r="194" spans="1:6" x14ac:dyDescent="0.25">
      <c r="A194" s="1">
        <f t="shared" si="30"/>
        <v>44531</v>
      </c>
      <c r="B194" s="100"/>
      <c r="C194" s="49" t="s">
        <v>1877</v>
      </c>
      <c r="D194" s="103">
        <f>VLOOKUP(A194,'Imposto de Renda'!A:I,8,0)</f>
        <v>0</v>
      </c>
      <c r="E194" s="103">
        <f>VLOOKUP(A191,'Imposto de Renda Day Trade'!A:H,7,0)</f>
        <v>0</v>
      </c>
      <c r="F194" s="77"/>
    </row>
    <row r="195" spans="1:6" x14ac:dyDescent="0.25">
      <c r="A195" s="1">
        <f t="shared" si="30"/>
        <v>44531</v>
      </c>
      <c r="B195" s="100"/>
      <c r="C195" s="49" t="s">
        <v>1878</v>
      </c>
      <c r="D195" s="104"/>
      <c r="E195" s="104"/>
      <c r="F195" s="77"/>
    </row>
    <row r="196" spans="1:6" x14ac:dyDescent="0.25">
      <c r="A196" s="1">
        <f t="shared" si="30"/>
        <v>44531</v>
      </c>
      <c r="B196" s="100"/>
      <c r="C196" s="49" t="s">
        <v>1879</v>
      </c>
      <c r="D196" s="104"/>
      <c r="E196" s="104"/>
      <c r="F196" s="77"/>
    </row>
    <row r="197" spans="1:6" x14ac:dyDescent="0.25">
      <c r="A197" s="1">
        <f t="shared" si="30"/>
        <v>44531</v>
      </c>
      <c r="B197" s="100"/>
      <c r="C197" s="49" t="s">
        <v>1880</v>
      </c>
      <c r="D197" s="105"/>
      <c r="E197" s="105"/>
      <c r="F197" s="77"/>
    </row>
    <row r="198" spans="1:6" x14ac:dyDescent="0.25">
      <c r="A198" s="1">
        <f t="shared" si="30"/>
        <v>44531</v>
      </c>
      <c r="B198" s="100"/>
      <c r="C198" s="49" t="s">
        <v>1881</v>
      </c>
      <c r="D198" s="103">
        <f>VLOOKUP(A194,'Imposto de Renda'!A:I,6,0)</f>
        <v>0</v>
      </c>
      <c r="E198" s="103">
        <f>VLOOKUP(A191,'Imposto de Renda Day Trade'!A:H,5,0)</f>
        <v>0</v>
      </c>
      <c r="F198" s="77"/>
    </row>
    <row r="199" spans="1:6" x14ac:dyDescent="0.25">
      <c r="A199" s="1">
        <f t="shared" si="30"/>
        <v>44531</v>
      </c>
      <c r="B199" s="100"/>
      <c r="C199" s="49" t="s">
        <v>1882</v>
      </c>
      <c r="D199" s="104"/>
      <c r="E199" s="104"/>
      <c r="F199" s="77"/>
    </row>
    <row r="200" spans="1:6" x14ac:dyDescent="0.25">
      <c r="A200" s="1">
        <f t="shared" si="30"/>
        <v>44531</v>
      </c>
      <c r="B200" s="100"/>
      <c r="C200" s="49" t="s">
        <v>1883</v>
      </c>
      <c r="D200" s="104"/>
      <c r="E200" s="104"/>
      <c r="F200" s="77"/>
    </row>
    <row r="201" spans="1:6" x14ac:dyDescent="0.25">
      <c r="A201" s="1">
        <f t="shared" si="30"/>
        <v>44531</v>
      </c>
      <c r="B201" s="100"/>
      <c r="C201" s="49" t="s">
        <v>1884</v>
      </c>
      <c r="D201" s="105"/>
      <c r="E201" s="105"/>
      <c r="F201" s="77"/>
    </row>
    <row r="202" spans="1:6" x14ac:dyDescent="0.25">
      <c r="A202" s="1">
        <f t="shared" si="30"/>
        <v>44531</v>
      </c>
      <c r="B202" s="100"/>
      <c r="C202" s="49" t="s">
        <v>1885</v>
      </c>
      <c r="D202" s="103">
        <f>VLOOKUP(A194,'Imposto de Renda'!A:I,7,0)</f>
        <v>0</v>
      </c>
      <c r="E202" s="103">
        <f>VLOOKUP(A191,'Imposto de Renda Day Trade'!A:H,6,0)</f>
        <v>0</v>
      </c>
      <c r="F202" s="77"/>
    </row>
    <row r="203" spans="1:6" x14ac:dyDescent="0.25">
      <c r="A203" s="1">
        <f t="shared" si="30"/>
        <v>44531</v>
      </c>
      <c r="B203" s="100"/>
      <c r="C203" s="49" t="s">
        <v>1886</v>
      </c>
      <c r="D203" s="104"/>
      <c r="E203" s="104"/>
      <c r="F203" s="77"/>
    </row>
    <row r="204" spans="1:6" x14ac:dyDescent="0.25">
      <c r="A204" s="1">
        <f t="shared" si="30"/>
        <v>44531</v>
      </c>
      <c r="B204" s="100"/>
      <c r="C204" s="49" t="s">
        <v>1887</v>
      </c>
      <c r="D204" s="79"/>
      <c r="E204" s="80"/>
      <c r="F204" s="81"/>
    </row>
    <row r="205" spans="1:6" x14ac:dyDescent="0.25">
      <c r="A205" s="1">
        <f t="shared" si="30"/>
        <v>44531</v>
      </c>
      <c r="B205" s="100"/>
      <c r="C205" s="49" t="s">
        <v>1888</v>
      </c>
      <c r="D205" s="82"/>
      <c r="E205" s="83"/>
      <c r="F205" s="81">
        <f>VLOOKUP(A205,'Imposto de Renda Day Trade'!A:L,12,0)</f>
        <v>0</v>
      </c>
    </row>
    <row r="206" spans="1:6" x14ac:dyDescent="0.25">
      <c r="A206" s="1">
        <f t="shared" si="30"/>
        <v>44531</v>
      </c>
      <c r="B206" s="100"/>
      <c r="C206" s="49" t="s">
        <v>82</v>
      </c>
      <c r="D206" s="82"/>
      <c r="E206" s="83"/>
      <c r="F206" s="84">
        <f>VLOOKUP(A206,'Imposto de Renda'!A:N,14,0)</f>
        <v>0</v>
      </c>
    </row>
    <row r="207" spans="1:6" x14ac:dyDescent="0.25">
      <c r="A207" s="1">
        <f t="shared" si="30"/>
        <v>44531</v>
      </c>
      <c r="B207" s="100"/>
      <c r="C207" s="49" t="s">
        <v>1889</v>
      </c>
      <c r="D207" s="85"/>
      <c r="E207" s="81"/>
      <c r="F207" s="84">
        <f>VLOOKUP(A207,'Imposto de Renda'!A:Q,17,0)+VLOOKUP(A207,'Imposto de Renda Day Trade'!A:O,15,0)</f>
        <v>0</v>
      </c>
    </row>
  </sheetData>
  <mergeCells count="108">
    <mergeCell ref="D194:D197"/>
    <mergeCell ref="E194:E197"/>
    <mergeCell ref="D198:D201"/>
    <mergeCell ref="E198:E201"/>
    <mergeCell ref="D202:D203"/>
    <mergeCell ref="E202:E203"/>
    <mergeCell ref="D181:D184"/>
    <mergeCell ref="E181:E184"/>
    <mergeCell ref="D185:D186"/>
    <mergeCell ref="E185:E186"/>
    <mergeCell ref="D191:D193"/>
    <mergeCell ref="E191:E193"/>
    <mergeCell ref="D168:D169"/>
    <mergeCell ref="E168:E169"/>
    <mergeCell ref="D174:D176"/>
    <mergeCell ref="E174:E176"/>
    <mergeCell ref="D177:D180"/>
    <mergeCell ref="E177:E180"/>
    <mergeCell ref="D157:D159"/>
    <mergeCell ref="E157:E159"/>
    <mergeCell ref="D160:D163"/>
    <mergeCell ref="E160:E163"/>
    <mergeCell ref="D164:D167"/>
    <mergeCell ref="E164:E167"/>
    <mergeCell ref="D143:D146"/>
    <mergeCell ref="E143:E146"/>
    <mergeCell ref="D147:D150"/>
    <mergeCell ref="E147:E150"/>
    <mergeCell ref="D151:D152"/>
    <mergeCell ref="E151:E152"/>
    <mergeCell ref="D130:D133"/>
    <mergeCell ref="E130:E133"/>
    <mergeCell ref="D134:D135"/>
    <mergeCell ref="E134:E135"/>
    <mergeCell ref="D140:D142"/>
    <mergeCell ref="E140:E142"/>
    <mergeCell ref="D117:D118"/>
    <mergeCell ref="E117:E118"/>
    <mergeCell ref="D123:D125"/>
    <mergeCell ref="E123:E125"/>
    <mergeCell ref="D126:D129"/>
    <mergeCell ref="E126:E129"/>
    <mergeCell ref="D106:D108"/>
    <mergeCell ref="E106:E108"/>
    <mergeCell ref="D109:D112"/>
    <mergeCell ref="E109:E112"/>
    <mergeCell ref="D113:D116"/>
    <mergeCell ref="E113:E116"/>
    <mergeCell ref="D92:D95"/>
    <mergeCell ref="E92:E95"/>
    <mergeCell ref="D96:D99"/>
    <mergeCell ref="E96:E99"/>
    <mergeCell ref="D100:D101"/>
    <mergeCell ref="E100:E101"/>
    <mergeCell ref="D79:D82"/>
    <mergeCell ref="E79:E82"/>
    <mergeCell ref="D83:D84"/>
    <mergeCell ref="E83:E84"/>
    <mergeCell ref="D89:D91"/>
    <mergeCell ref="E89:E91"/>
    <mergeCell ref="D66:D67"/>
    <mergeCell ref="E66:E67"/>
    <mergeCell ref="D72:D74"/>
    <mergeCell ref="E72:E74"/>
    <mergeCell ref="D75:D78"/>
    <mergeCell ref="E75:E78"/>
    <mergeCell ref="D55:D57"/>
    <mergeCell ref="E55:E57"/>
    <mergeCell ref="D58:D61"/>
    <mergeCell ref="E58:E61"/>
    <mergeCell ref="D62:D65"/>
    <mergeCell ref="E62:E65"/>
    <mergeCell ref="D41:D44"/>
    <mergeCell ref="E41:E44"/>
    <mergeCell ref="D45:D48"/>
    <mergeCell ref="E45:E48"/>
    <mergeCell ref="D49:D50"/>
    <mergeCell ref="E49:E50"/>
    <mergeCell ref="D28:D31"/>
    <mergeCell ref="E28:E31"/>
    <mergeCell ref="D32:D33"/>
    <mergeCell ref="E32:E33"/>
    <mergeCell ref="D38:D40"/>
    <mergeCell ref="E38:E40"/>
    <mergeCell ref="D15:D16"/>
    <mergeCell ref="E15:E16"/>
    <mergeCell ref="D21:D23"/>
    <mergeCell ref="E21:E23"/>
    <mergeCell ref="D24:D27"/>
    <mergeCell ref="E24:E27"/>
    <mergeCell ref="D4:D6"/>
    <mergeCell ref="E4:E6"/>
    <mergeCell ref="D7:D10"/>
    <mergeCell ref="E7:E10"/>
    <mergeCell ref="D11:D14"/>
    <mergeCell ref="E11:E14"/>
    <mergeCell ref="B106:B122"/>
    <mergeCell ref="B123:B139"/>
    <mergeCell ref="B140:B156"/>
    <mergeCell ref="B157:B173"/>
    <mergeCell ref="B174:B190"/>
    <mergeCell ref="B191:B207"/>
    <mergeCell ref="B4:B20"/>
    <mergeCell ref="B21:B37"/>
    <mergeCell ref="B38:B54"/>
    <mergeCell ref="B55:B71"/>
    <mergeCell ref="B72:B88"/>
    <mergeCell ref="B89:B105"/>
  </mergeCells>
  <conditionalFormatting sqref="D4:F207">
    <cfRule type="cellIs" dxfId="6" priority="1" operator="lessThan">
      <formula>0</formula>
    </cfRule>
    <cfRule type="cellIs" dxfId="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58AE-D2FE-4526-BC1F-1C1F01D62FE0}">
  <sheetPr codeName="Planilha15"/>
  <dimension ref="A1:G60"/>
  <sheetViews>
    <sheetView showGridLines="0" workbookViewId="0">
      <selection activeCell="B8" sqref="B8"/>
    </sheetView>
  </sheetViews>
  <sheetFormatPr defaultRowHeight="15" x14ac:dyDescent="0.25"/>
  <cols>
    <col min="1" max="1" width="7.28515625" style="60" customWidth="1"/>
    <col min="2" max="2" width="23.85546875" style="60" bestFit="1" customWidth="1"/>
    <col min="3" max="3" width="35.42578125" style="59" bestFit="1" customWidth="1"/>
    <col min="4" max="4" width="21.5703125" style="59" bestFit="1" customWidth="1"/>
    <col min="5" max="5" width="13.140625" style="59" bestFit="1" customWidth="1"/>
    <col min="6" max="6" width="11.7109375" style="60" bestFit="1" customWidth="1"/>
    <col min="7" max="7" width="7.7109375" style="60" bestFit="1" customWidth="1"/>
    <col min="8" max="16384" width="9.140625" style="60"/>
  </cols>
  <sheetData>
    <row r="1" spans="1:7" x14ac:dyDescent="0.25">
      <c r="A1" s="58" t="s">
        <v>1872</v>
      </c>
      <c r="B1" s="50">
        <v>2021</v>
      </c>
      <c r="G1" s="61"/>
    </row>
    <row r="2" spans="1:7" x14ac:dyDescent="0.25">
      <c r="C2" s="62"/>
      <c r="D2" s="62"/>
      <c r="E2" s="62"/>
    </row>
    <row r="3" spans="1:7" x14ac:dyDescent="0.25">
      <c r="A3" s="58" t="s">
        <v>76</v>
      </c>
      <c r="B3" s="58" t="s">
        <v>1895</v>
      </c>
      <c r="C3" s="58" t="s">
        <v>1887</v>
      </c>
      <c r="D3" s="58" t="s">
        <v>1896</v>
      </c>
      <c r="E3" s="58" t="s">
        <v>85</v>
      </c>
    </row>
    <row r="4" spans="1:7" x14ac:dyDescent="0.25">
      <c r="A4" s="63">
        <f>DATE($B$1,1,1)</f>
        <v>44197</v>
      </c>
      <c r="B4" s="64">
        <f>VLOOKUP(A4,'Imposto de Renda F.I.I.'!A:B,2,0)</f>
        <v>0</v>
      </c>
      <c r="C4" s="64">
        <f>VLOOKUP(A4,'Imposto de Renda F.I.I.'!A:C,3,0)</f>
        <v>0</v>
      </c>
      <c r="D4" s="64">
        <f>VLOOKUP(A4,'Imposto de Renda F.I.I.'!A:F,6,0)</f>
        <v>0</v>
      </c>
      <c r="E4" s="64">
        <f>VLOOKUP(A4,'Imposto de Renda F.I.I.'!A:I,9,0)</f>
        <v>0</v>
      </c>
    </row>
    <row r="5" spans="1:7" x14ac:dyDescent="0.25">
      <c r="A5" s="63">
        <f>EDATE(A4,1)</f>
        <v>44228</v>
      </c>
      <c r="B5" s="64">
        <f>VLOOKUP(A5,'Imposto de Renda F.I.I.'!A:B,2,0)</f>
        <v>0</v>
      </c>
      <c r="C5" s="64"/>
      <c r="D5" s="64">
        <f>VLOOKUP(A5,'Imposto de Renda F.I.I.'!A:F,6,0)</f>
        <v>0</v>
      </c>
      <c r="E5" s="64">
        <f>VLOOKUP(A5,'Imposto de Renda F.I.I.'!A:I,9,0)</f>
        <v>0</v>
      </c>
    </row>
    <row r="6" spans="1:7" x14ac:dyDescent="0.25">
      <c r="A6" s="63">
        <f t="shared" ref="A6:A15" si="0">EDATE(A5,1)</f>
        <v>44256</v>
      </c>
      <c r="B6" s="64">
        <f>VLOOKUP(A6,'Imposto de Renda F.I.I.'!A:B,2,0)</f>
        <v>0</v>
      </c>
      <c r="C6" s="64"/>
      <c r="D6" s="64">
        <f>VLOOKUP(A6,'Imposto de Renda F.I.I.'!A:F,6,0)</f>
        <v>0</v>
      </c>
      <c r="E6" s="64">
        <f>VLOOKUP(A6,'Imposto de Renda F.I.I.'!A:I,9,0)</f>
        <v>0</v>
      </c>
    </row>
    <row r="7" spans="1:7" x14ac:dyDescent="0.25">
      <c r="A7" s="63">
        <f t="shared" si="0"/>
        <v>44287</v>
      </c>
      <c r="B7" s="64">
        <f>VLOOKUP(A7,'Imposto de Renda F.I.I.'!A:B,2,0)</f>
        <v>0</v>
      </c>
      <c r="C7" s="64"/>
      <c r="D7" s="64">
        <f>VLOOKUP(A7,'Imposto de Renda F.I.I.'!A:F,6,0)</f>
        <v>0</v>
      </c>
      <c r="E7" s="64">
        <f>VLOOKUP(A7,'Imposto de Renda F.I.I.'!A:I,9,0)</f>
        <v>0</v>
      </c>
    </row>
    <row r="8" spans="1:7" x14ac:dyDescent="0.25">
      <c r="A8" s="63">
        <f t="shared" si="0"/>
        <v>44317</v>
      </c>
      <c r="B8" s="64">
        <f>VLOOKUP(A8,'Imposto de Renda F.I.I.'!A:B,2,0)</f>
        <v>130.62</v>
      </c>
      <c r="C8" s="64"/>
      <c r="D8" s="64">
        <f>VLOOKUP(A8,'Imposto de Renda F.I.I.'!A:F,6,0)</f>
        <v>-0.02</v>
      </c>
      <c r="E8" s="64">
        <f>VLOOKUP(A8,'Imposto de Renda F.I.I.'!A:I,9,0)</f>
        <v>0</v>
      </c>
    </row>
    <row r="9" spans="1:7" x14ac:dyDescent="0.25">
      <c r="A9" s="63">
        <f t="shared" si="0"/>
        <v>44348</v>
      </c>
      <c r="B9" s="64">
        <f>VLOOKUP(A9,'Imposto de Renda F.I.I.'!A:B,2,0)</f>
        <v>0</v>
      </c>
      <c r="C9" s="64"/>
      <c r="D9" s="64">
        <f>VLOOKUP(A9,'Imposto de Renda F.I.I.'!A:F,6,0)</f>
        <v>0</v>
      </c>
      <c r="E9" s="64">
        <f>VLOOKUP(A9,'Imposto de Renda F.I.I.'!A:I,9,0)</f>
        <v>0</v>
      </c>
    </row>
    <row r="10" spans="1:7" x14ac:dyDescent="0.25">
      <c r="A10" s="63">
        <f t="shared" si="0"/>
        <v>44378</v>
      </c>
      <c r="B10" s="64">
        <f>VLOOKUP(A10,'Imposto de Renda F.I.I.'!A:B,2,0)</f>
        <v>0</v>
      </c>
      <c r="C10" s="64"/>
      <c r="D10" s="64">
        <f>VLOOKUP(A10,'Imposto de Renda F.I.I.'!A:F,6,0)</f>
        <v>0</v>
      </c>
      <c r="E10" s="64">
        <f>VLOOKUP(A10,'Imposto de Renda F.I.I.'!A:I,9,0)</f>
        <v>0</v>
      </c>
    </row>
    <row r="11" spans="1:7" x14ac:dyDescent="0.25">
      <c r="A11" s="63">
        <f t="shared" si="0"/>
        <v>44409</v>
      </c>
      <c r="B11" s="64">
        <f>VLOOKUP(A11,'Imposto de Renda F.I.I.'!A:B,2,0)</f>
        <v>0</v>
      </c>
      <c r="C11" s="64"/>
      <c r="D11" s="64">
        <f>VLOOKUP(A11,'Imposto de Renda F.I.I.'!A:F,6,0)</f>
        <v>0</v>
      </c>
      <c r="E11" s="64">
        <f>VLOOKUP(A11,'Imposto de Renda F.I.I.'!A:I,9,0)</f>
        <v>0</v>
      </c>
    </row>
    <row r="12" spans="1:7" x14ac:dyDescent="0.25">
      <c r="A12" s="63">
        <f t="shared" si="0"/>
        <v>44440</v>
      </c>
      <c r="B12" s="64">
        <f>VLOOKUP(A12,'Imposto de Renda F.I.I.'!A:B,2,0)</f>
        <v>0</v>
      </c>
      <c r="C12" s="64"/>
      <c r="D12" s="64">
        <f>VLOOKUP(A12,'Imposto de Renda F.I.I.'!A:F,6,0)</f>
        <v>0</v>
      </c>
      <c r="E12" s="64">
        <f>VLOOKUP(A12,'Imposto de Renda F.I.I.'!A:I,9,0)</f>
        <v>0</v>
      </c>
    </row>
    <row r="13" spans="1:7" x14ac:dyDescent="0.25">
      <c r="A13" s="63">
        <f t="shared" si="0"/>
        <v>44470</v>
      </c>
      <c r="B13" s="64">
        <f>VLOOKUP(A13,'Imposto de Renda F.I.I.'!A:B,2,0)</f>
        <v>0</v>
      </c>
      <c r="C13" s="64"/>
      <c r="D13" s="64">
        <f>VLOOKUP(A13,'Imposto de Renda F.I.I.'!A:F,6,0)</f>
        <v>0</v>
      </c>
      <c r="E13" s="64">
        <f>VLOOKUP(A13,'Imposto de Renda F.I.I.'!A:I,9,0)</f>
        <v>0</v>
      </c>
    </row>
    <row r="14" spans="1:7" x14ac:dyDescent="0.25">
      <c r="A14" s="63">
        <f t="shared" si="0"/>
        <v>44501</v>
      </c>
      <c r="B14" s="64">
        <f>VLOOKUP(A14,'Imposto de Renda F.I.I.'!A:B,2,0)</f>
        <v>0</v>
      </c>
      <c r="C14" s="64"/>
      <c r="D14" s="64">
        <f>VLOOKUP(A14,'Imposto de Renda F.I.I.'!A:F,6,0)</f>
        <v>0</v>
      </c>
      <c r="E14" s="64">
        <f>VLOOKUP(A14,'Imposto de Renda F.I.I.'!A:I,9,0)</f>
        <v>0</v>
      </c>
    </row>
    <row r="15" spans="1:7" x14ac:dyDescent="0.25">
      <c r="A15" s="63">
        <f t="shared" si="0"/>
        <v>44531</v>
      </c>
      <c r="B15" s="64">
        <f>VLOOKUP(A15,'Imposto de Renda F.I.I.'!A:B,2,0)</f>
        <v>0</v>
      </c>
      <c r="C15" s="64"/>
      <c r="D15" s="64">
        <f>VLOOKUP(A15,'Imposto de Renda F.I.I.'!A:F,6,0)</f>
        <v>0</v>
      </c>
      <c r="E15" s="64">
        <f>VLOOKUP(A15,'Imposto de Renda F.I.I.'!A:I,9,0)</f>
        <v>0</v>
      </c>
    </row>
    <row r="16" spans="1:7" x14ac:dyDescent="0.25">
      <c r="A16" s="65"/>
    </row>
    <row r="17" spans="1:1" x14ac:dyDescent="0.25">
      <c r="A17" s="65"/>
    </row>
    <row r="18" spans="1:1" x14ac:dyDescent="0.25">
      <c r="A18" s="65"/>
    </row>
    <row r="19" spans="1:1" x14ac:dyDescent="0.25">
      <c r="A19" s="65"/>
    </row>
    <row r="20" spans="1:1" x14ac:dyDescent="0.25">
      <c r="A20" s="65"/>
    </row>
    <row r="21" spans="1:1" x14ac:dyDescent="0.25">
      <c r="A21" s="65"/>
    </row>
    <row r="22" spans="1:1" x14ac:dyDescent="0.25">
      <c r="A22" s="65"/>
    </row>
    <row r="23" spans="1:1" x14ac:dyDescent="0.25">
      <c r="A23" s="65"/>
    </row>
    <row r="24" spans="1:1" x14ac:dyDescent="0.25">
      <c r="A24" s="65"/>
    </row>
    <row r="25" spans="1:1" x14ac:dyDescent="0.25">
      <c r="A25" s="65"/>
    </row>
    <row r="26" spans="1:1" x14ac:dyDescent="0.25">
      <c r="A26" s="65"/>
    </row>
    <row r="27" spans="1:1" x14ac:dyDescent="0.25">
      <c r="A27" s="65"/>
    </row>
    <row r="28" spans="1:1" x14ac:dyDescent="0.25">
      <c r="A28" s="65"/>
    </row>
    <row r="29" spans="1:1" x14ac:dyDescent="0.25">
      <c r="A29" s="65"/>
    </row>
    <row r="30" spans="1:1" x14ac:dyDescent="0.25">
      <c r="A30" s="65"/>
    </row>
    <row r="31" spans="1:1" x14ac:dyDescent="0.25">
      <c r="A31" s="65"/>
    </row>
    <row r="32" spans="1:1" x14ac:dyDescent="0.25">
      <c r="A32" s="65"/>
    </row>
    <row r="33" spans="1:1" x14ac:dyDescent="0.25">
      <c r="A33" s="65"/>
    </row>
    <row r="34" spans="1:1" x14ac:dyDescent="0.25">
      <c r="A34" s="65"/>
    </row>
    <row r="35" spans="1:1" x14ac:dyDescent="0.25">
      <c r="A35" s="65"/>
    </row>
    <row r="36" spans="1:1" x14ac:dyDescent="0.25">
      <c r="A36" s="65"/>
    </row>
    <row r="37" spans="1:1" x14ac:dyDescent="0.25">
      <c r="A37" s="65"/>
    </row>
    <row r="38" spans="1:1" x14ac:dyDescent="0.25">
      <c r="A38" s="65"/>
    </row>
    <row r="39" spans="1:1" x14ac:dyDescent="0.25">
      <c r="A39" s="65"/>
    </row>
    <row r="40" spans="1:1" x14ac:dyDescent="0.25">
      <c r="A40" s="65"/>
    </row>
    <row r="41" spans="1:1" x14ac:dyDescent="0.25">
      <c r="A41" s="65"/>
    </row>
    <row r="42" spans="1:1" x14ac:dyDescent="0.25">
      <c r="A42" s="65"/>
    </row>
    <row r="43" spans="1:1" x14ac:dyDescent="0.25">
      <c r="A43" s="65"/>
    </row>
    <row r="44" spans="1:1" x14ac:dyDescent="0.25">
      <c r="A44" s="65"/>
    </row>
    <row r="45" spans="1:1" x14ac:dyDescent="0.25">
      <c r="A45" s="65"/>
    </row>
    <row r="46" spans="1:1" x14ac:dyDescent="0.25">
      <c r="A46" s="65"/>
    </row>
    <row r="47" spans="1:1" x14ac:dyDescent="0.25">
      <c r="A47" s="65"/>
    </row>
    <row r="48" spans="1:1" x14ac:dyDescent="0.25">
      <c r="A48" s="65"/>
    </row>
    <row r="49" spans="1:1" x14ac:dyDescent="0.25">
      <c r="A49" s="65"/>
    </row>
    <row r="50" spans="1:1" x14ac:dyDescent="0.25">
      <c r="A50" s="65"/>
    </row>
    <row r="51" spans="1:1" x14ac:dyDescent="0.25">
      <c r="A51" s="65"/>
    </row>
    <row r="52" spans="1:1" x14ac:dyDescent="0.25">
      <c r="A52" s="65"/>
    </row>
    <row r="53" spans="1:1" x14ac:dyDescent="0.25">
      <c r="A53" s="65"/>
    </row>
    <row r="54" spans="1:1" x14ac:dyDescent="0.25">
      <c r="A54" s="65"/>
    </row>
    <row r="55" spans="1:1" x14ac:dyDescent="0.25">
      <c r="A55" s="65"/>
    </row>
    <row r="56" spans="1:1" x14ac:dyDescent="0.25">
      <c r="A56" s="65"/>
    </row>
    <row r="57" spans="1:1" x14ac:dyDescent="0.25">
      <c r="A57" s="65"/>
    </row>
    <row r="58" spans="1:1" x14ac:dyDescent="0.25">
      <c r="A58" s="65"/>
    </row>
    <row r="59" spans="1:1" x14ac:dyDescent="0.25">
      <c r="A59" s="65"/>
    </row>
    <row r="60" spans="1:1" x14ac:dyDescent="0.25">
      <c r="A60" s="65"/>
    </row>
  </sheetData>
  <conditionalFormatting sqref="G1">
    <cfRule type="cellIs" dxfId="4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C1E5-7842-43ED-A1CF-3B1AAC91A812}">
  <sheetPr codeName="Planilha5"/>
  <dimension ref="A1:C19"/>
  <sheetViews>
    <sheetView showGridLines="0" zoomScale="140" zoomScaleNormal="140" workbookViewId="0">
      <selection activeCell="B2" sqref="B2"/>
    </sheetView>
  </sheetViews>
  <sheetFormatPr defaultRowHeight="15" x14ac:dyDescent="0.25"/>
  <cols>
    <col min="1" max="1" width="9.140625" style="3"/>
    <col min="2" max="2" width="11.5703125" customWidth="1"/>
    <col min="3" max="3" width="12" bestFit="1" customWidth="1"/>
  </cols>
  <sheetData>
    <row r="1" spans="1:3" x14ac:dyDescent="0.25">
      <c r="A1" s="6" t="s">
        <v>46</v>
      </c>
      <c r="B1" s="6" t="s">
        <v>54</v>
      </c>
      <c r="C1" s="6" t="s">
        <v>53</v>
      </c>
    </row>
    <row r="2" spans="1:3" x14ac:dyDescent="0.25">
      <c r="A2" s="3" t="str" cm="1">
        <f t="array" ref="A2:A19">_xlfn._xlws.SORT(_xlfn.UNIQUE(SUBSTITUTE(_xlfn._xlws.FILTER(TabelaMovimentacoes[Descrição],(TabelaMovimentacoes[Tipo]="Ação")+(TabelaMovimentacoes[Tipo]="ETF")+(TabelaMovimentacoes[Tipo]="FII")+(TabelaMovimentacoes[Tipo]="BDR"),""),".N","")))</f>
        <v>AAPL34</v>
      </c>
      <c r="B2" t="e" cm="1" vm="4">
        <f t="array" aca="1" ref="B2" ca="1">IFERROR(_xlfn.STOCKHISTORY(A2,TODAY(),,,0),IFERROR(_xlfn.STOCKHISTORY(A2,TODAY()-1,,,0),IFERROR(_xlfn.STOCKHISTORY(A2,TODAY()-2,,,0),IFERROR(_xlfn.STOCKHISTORY(A2,TODAY()-3,,,0),_xlfn.STOCKHISTORY(A2,TODAY()-4,,,0)))))</f>
        <v>#VALUE!</v>
      </c>
    </row>
    <row r="3" spans="1:3" x14ac:dyDescent="0.25">
      <c r="A3" s="3" t="str">
        <v>AESB3</v>
      </c>
      <c r="B3" t="e" cm="1" vm="4">
        <f t="array" aca="1" ref="B3" ca="1">IFERROR(_xlfn.STOCKHISTORY(A3,TODAY(),,,0),IFERROR(_xlfn.STOCKHISTORY(A3,TODAY()-1,,,0),IFERROR(_xlfn.STOCKHISTORY(A3,TODAY()-2,,,0),IFERROR(_xlfn.STOCKHISTORY(A3,TODAY()-3,,,0),_xlfn.STOCKHISTORY(A3,TODAY()-4,,,0)))))</f>
        <v>#VALUE!</v>
      </c>
    </row>
    <row r="4" spans="1:3" x14ac:dyDescent="0.25">
      <c r="A4" s="3" t="str">
        <v>BBAS3</v>
      </c>
      <c r="B4" t="e" cm="1" vm="4">
        <f t="array" aca="1" ref="B4" ca="1">IFERROR(_xlfn.STOCKHISTORY(A4,TODAY(),,,0),IFERROR(_xlfn.STOCKHISTORY(A4,TODAY()-1,,,0),IFERROR(_xlfn.STOCKHISTORY(A4,TODAY()-2,,,0),IFERROR(_xlfn.STOCKHISTORY(A4,TODAY()-3,,,0),_xlfn.STOCKHISTORY(A4,TODAY()-4,,,0)))))</f>
        <v>#VALUE!</v>
      </c>
    </row>
    <row r="5" spans="1:3" x14ac:dyDescent="0.25">
      <c r="A5" s="3" t="str">
        <v>BBDC4</v>
      </c>
      <c r="B5" t="e" cm="1" vm="4">
        <f t="array" aca="1" ref="B5" ca="1">IFERROR(_xlfn.STOCKHISTORY(A5,TODAY(),,,0),IFERROR(_xlfn.STOCKHISTORY(A5,TODAY()-1,,,0),IFERROR(_xlfn.STOCKHISTORY(A5,TODAY()-2,,,0),IFERROR(_xlfn.STOCKHISTORY(A5,TODAY()-3,,,0),_xlfn.STOCKHISTORY(A5,TODAY()-4,,,0)))))</f>
        <v>#VALUE!</v>
      </c>
    </row>
    <row r="6" spans="1:3" x14ac:dyDescent="0.25">
      <c r="A6" s="3" t="str">
        <v>BOVA11</v>
      </c>
      <c r="B6" t="e" cm="1" vm="4">
        <f t="array" aca="1" ref="B6" ca="1">IFERROR(_xlfn.STOCKHISTORY(A6,TODAY(),,,0),IFERROR(_xlfn.STOCKHISTORY(A6,TODAY()-1,,,0),IFERROR(_xlfn.STOCKHISTORY(A6,TODAY()-2,,,0),IFERROR(_xlfn.STOCKHISTORY(A6,TODAY()-3,,,0),_xlfn.STOCKHISTORY(A6,TODAY()-4,,,0)))))</f>
        <v>#VALUE!</v>
      </c>
    </row>
    <row r="7" spans="1:3" x14ac:dyDescent="0.25">
      <c r="A7" s="3" t="str">
        <v>BPAN4</v>
      </c>
      <c r="B7" t="e" cm="1" vm="4">
        <f t="array" aca="1" ref="B7" ca="1">IFERROR(_xlfn.STOCKHISTORY(A7,TODAY(),,,0),IFERROR(_xlfn.STOCKHISTORY(A7,TODAY()-1,,,0),IFERROR(_xlfn.STOCKHISTORY(A7,TODAY()-2,,,0),IFERROR(_xlfn.STOCKHISTORY(A7,TODAY()-3,,,0),_xlfn.STOCKHISTORY(A7,TODAY()-4,,,0)))))</f>
        <v>#VALUE!</v>
      </c>
    </row>
    <row r="8" spans="1:3" x14ac:dyDescent="0.25">
      <c r="A8" s="3" t="str">
        <v>BRCR11</v>
      </c>
      <c r="B8" t="e" cm="1" vm="4">
        <f t="array" aca="1" ref="B8" ca="1">IFERROR(_xlfn.STOCKHISTORY(A8,TODAY(),,,0),IFERROR(_xlfn.STOCKHISTORY(A8,TODAY()-1,,,0),IFERROR(_xlfn.STOCKHISTORY(A8,TODAY()-2,,,0),IFERROR(_xlfn.STOCKHISTORY(A8,TODAY()-3,,,0),_xlfn.STOCKHISTORY(A8,TODAY()-4,,,0)))))</f>
        <v>#VALUE!</v>
      </c>
    </row>
    <row r="9" spans="1:3" x14ac:dyDescent="0.25">
      <c r="A9" s="3" t="str">
        <v>CASH3</v>
      </c>
      <c r="B9" t="e" cm="1" vm="4">
        <f t="array" aca="1" ref="B9" ca="1">IFERROR(_xlfn.STOCKHISTORY(A9,TODAY(),,,0),IFERROR(_xlfn.STOCKHISTORY(A9,TODAY()-1,,,0),IFERROR(_xlfn.STOCKHISTORY(A9,TODAY()-2,,,0),IFERROR(_xlfn.STOCKHISTORY(A9,TODAY()-3,,,0),_xlfn.STOCKHISTORY(A9,TODAY()-4,,,0)))))</f>
        <v>#VALUE!</v>
      </c>
    </row>
    <row r="10" spans="1:3" x14ac:dyDescent="0.25">
      <c r="A10" s="3" t="str">
        <v>HGLG11</v>
      </c>
      <c r="B10" t="e" cm="1" vm="4">
        <f t="array" aca="1" ref="B10" ca="1">IFERROR(_xlfn.STOCKHISTORY(A10,TODAY(),,,0),IFERROR(_xlfn.STOCKHISTORY(A10,TODAY()-1,,,0),IFERROR(_xlfn.STOCKHISTORY(A10,TODAY()-2,,,0),IFERROR(_xlfn.STOCKHISTORY(A10,TODAY()-3,,,0),_xlfn.STOCKHISTORY(A10,TODAY()-4,,,0)))))</f>
        <v>#VALUE!</v>
      </c>
    </row>
    <row r="11" spans="1:3" x14ac:dyDescent="0.25">
      <c r="A11" s="3" t="str">
        <v>ITUB4</v>
      </c>
      <c r="B11" t="e" cm="1" vm="4">
        <f t="array" aca="1" ref="B11" ca="1">IFERROR(_xlfn.STOCKHISTORY(A11,TODAY(),,,0),IFERROR(_xlfn.STOCKHISTORY(A11,TODAY()-1,,,0),IFERROR(_xlfn.STOCKHISTORY(A11,TODAY()-2,,,0),IFERROR(_xlfn.STOCKHISTORY(A11,TODAY()-3,,,0),_xlfn.STOCKHISTORY(A11,TODAY()-4,,,0)))))</f>
        <v>#VALUE!</v>
      </c>
    </row>
    <row r="12" spans="1:3" x14ac:dyDescent="0.25">
      <c r="A12" s="3" t="str">
        <v>MGLU3</v>
      </c>
      <c r="B12" t="e" cm="1" vm="4">
        <f t="array" aca="1" ref="B12" ca="1">IFERROR(_xlfn.STOCKHISTORY(A12,TODAY(),,,0),IFERROR(_xlfn.STOCKHISTORY(A12,TODAY()-1,,,0),IFERROR(_xlfn.STOCKHISTORY(A12,TODAY()-2,,,0),IFERROR(_xlfn.STOCKHISTORY(A12,TODAY()-3,,,0),_xlfn.STOCKHISTORY(A12,TODAY()-4,,,0)))))</f>
        <v>#VALUE!</v>
      </c>
    </row>
    <row r="13" spans="1:3" x14ac:dyDescent="0.25">
      <c r="A13" s="3" t="str">
        <v>MSFT34</v>
      </c>
      <c r="B13" t="e" cm="1" vm="4">
        <f t="array" aca="1" ref="B13" ca="1">IFERROR(_xlfn.STOCKHISTORY(A13,TODAY(),,,0),IFERROR(_xlfn.STOCKHISTORY(A13,TODAY()-1,,,0),IFERROR(_xlfn.STOCKHISTORY(A13,TODAY()-2,,,0),IFERROR(_xlfn.STOCKHISTORY(A13,TODAY()-3,,,0),_xlfn.STOCKHISTORY(A13,TODAY()-4,,,0)))))</f>
        <v>#VALUE!</v>
      </c>
    </row>
    <row r="14" spans="1:3" x14ac:dyDescent="0.25">
      <c r="A14" s="3" t="str">
        <v>PETR4</v>
      </c>
      <c r="B14" t="e" cm="1" vm="4">
        <f t="array" aca="1" ref="B14" ca="1">IFERROR(_xlfn.STOCKHISTORY(A14,TODAY(),,,0),IFERROR(_xlfn.STOCKHISTORY(A14,TODAY()-1,,,0),IFERROR(_xlfn.STOCKHISTORY(A14,TODAY()-2,,,0),IFERROR(_xlfn.STOCKHISTORY(A14,TODAY()-3,,,0),_xlfn.STOCKHISTORY(A14,TODAY()-4,,,0)))))</f>
        <v>#VALUE!</v>
      </c>
    </row>
    <row r="15" spans="1:3" x14ac:dyDescent="0.25">
      <c r="A15" s="3" t="str">
        <v>PRNR3</v>
      </c>
      <c r="B15" t="e" cm="1" vm="4">
        <f t="array" aca="1" ref="B15" ca="1">IFERROR(_xlfn.STOCKHISTORY(A15,TODAY(),,,0),IFERROR(_xlfn.STOCKHISTORY(A15,TODAY()-1,,,0),IFERROR(_xlfn.STOCKHISTORY(A15,TODAY()-2,,,0),IFERROR(_xlfn.STOCKHISTORY(A15,TODAY()-3,,,0),_xlfn.STOCKHISTORY(A15,TODAY()-4,,,0)))))</f>
        <v>#VALUE!</v>
      </c>
    </row>
    <row r="16" spans="1:3" x14ac:dyDescent="0.25">
      <c r="A16" s="3" t="str">
        <v>SAPR11</v>
      </c>
      <c r="B16" t="e" cm="1" vm="4">
        <f t="array" aca="1" ref="B16" ca="1">IFERROR(_xlfn.STOCKHISTORY(A16,TODAY(),,,0),IFERROR(_xlfn.STOCKHISTORY(A16,TODAY()-1,,,0),IFERROR(_xlfn.STOCKHISTORY(A16,TODAY()-2,,,0),IFERROR(_xlfn.STOCKHISTORY(A16,TODAY()-3,,,0),_xlfn.STOCKHISTORY(A16,TODAY()-4,,,0)))))</f>
        <v>#VALUE!</v>
      </c>
    </row>
    <row r="17" spans="1:2" x14ac:dyDescent="0.25">
      <c r="A17" s="3" t="str">
        <v>SMAL11</v>
      </c>
      <c r="B17" t="e" cm="1" vm="4">
        <f t="array" aca="1" ref="B17" ca="1">IFERROR(_xlfn.STOCKHISTORY(A17,TODAY(),,,0),IFERROR(_xlfn.STOCKHISTORY(A17,TODAY()-1,,,0),IFERROR(_xlfn.STOCKHISTORY(A17,TODAY()-2,,,0),IFERROR(_xlfn.STOCKHISTORY(A17,TODAY()-3,,,0),_xlfn.STOCKHISTORY(A17,TODAY()-4,,,0)))))</f>
        <v>#VALUE!</v>
      </c>
    </row>
    <row r="18" spans="1:2" x14ac:dyDescent="0.25">
      <c r="A18" s="3" t="str">
        <v>SQIA3</v>
      </c>
      <c r="B18" t="e" cm="1" vm="4">
        <f t="array" aca="1" ref="B18" ca="1">IFERROR(_xlfn.STOCKHISTORY(A18,TODAY(),,,0),IFERROR(_xlfn.STOCKHISTORY(A18,TODAY()-1,,,0),IFERROR(_xlfn.STOCKHISTORY(A18,TODAY()-2,,,0),IFERROR(_xlfn.STOCKHISTORY(A18,TODAY()-3,,,0),_xlfn.STOCKHISTORY(A18,TODAY()-4,,,0)))))</f>
        <v>#VALUE!</v>
      </c>
    </row>
    <row r="19" spans="1:2" x14ac:dyDescent="0.25">
      <c r="A19" s="3" t="str">
        <v>YDUQ3</v>
      </c>
      <c r="B19" t="e" cm="1" vm="4">
        <f t="array" aca="1" ref="B19" ca="1">IFERROR(_xlfn.STOCKHISTORY(A19,TODAY(),,,0),IFERROR(_xlfn.STOCKHISTORY(A19,TODAY()-1,,,0),IFERROR(_xlfn.STOCKHISTORY(A19,TODAY()-2,,,0),IFERROR(_xlfn.STOCKHISTORY(A19,TODAY()-3,,,0),_xlfn.STOCKHISTORY(A19,TODAY()-4,,,0)))))</f>
        <v>#VALUE!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65854-35C3-4903-99AC-B908DC621DD5}">
  <sheetPr codeName="Planilha6"/>
  <dimension ref="A1:M19"/>
  <sheetViews>
    <sheetView showGridLines="0" workbookViewId="0">
      <selection activeCell="D2" sqref="D2"/>
    </sheetView>
  </sheetViews>
  <sheetFormatPr defaultRowHeight="15" x14ac:dyDescent="0.25"/>
  <cols>
    <col min="4" max="4" width="9.140625" style="3"/>
    <col min="5" max="5" width="16" style="3" customWidth="1"/>
    <col min="12" max="12" width="16.42578125" bestFit="1" customWidth="1"/>
    <col min="13" max="13" width="11.42578125" bestFit="1" customWidth="1"/>
  </cols>
  <sheetData>
    <row r="1" spans="1:13" x14ac:dyDescent="0.25">
      <c r="A1" t="s">
        <v>5</v>
      </c>
      <c r="D1" s="5" t="s">
        <v>46</v>
      </c>
      <c r="E1" s="5" t="s">
        <v>5</v>
      </c>
    </row>
    <row r="2" spans="1:13" x14ac:dyDescent="0.25">
      <c r="A2" t="s">
        <v>6</v>
      </c>
      <c r="D2" s="3" t="str" cm="1">
        <f t="array" ref="D2:E19">_xlfn._xlws.SORT(_xlfn.UNIQUE(SUBSTITUTE(_xlfn._xlws.FILTER(TabelaMovimentacoes[[Descrição]:[Tipo]],(TabelaMovimentacoes[Tipo]="Ação")+(TabelaMovimentacoes[Tipo]="ETF")+(TabelaMovimentacoes[Tipo]="FII")+(TabelaMovimentacoes[Tipo]="BDR")+(TabelaMovimentacoes[Tipo]="Opção")+(TabelaMovimentacoes[Tipo]="Futuro")+(TabelaMovimentacoes[Tipo]="Termo"),""),".N","")))</f>
        <v>AAPL34</v>
      </c>
      <c r="E2" s="3" t="str">
        <v>BDR</v>
      </c>
    </row>
    <row r="3" spans="1:13" x14ac:dyDescent="0.25">
      <c r="A3" t="s">
        <v>40</v>
      </c>
      <c r="D3" s="3" t="str">
        <v>AESB3</v>
      </c>
      <c r="E3" s="3" t="str">
        <v>Ação</v>
      </c>
      <c r="L3" s="3"/>
      <c r="M3" s="30"/>
    </row>
    <row r="4" spans="1:13" x14ac:dyDescent="0.25">
      <c r="A4" t="s">
        <v>41</v>
      </c>
      <c r="D4" s="3" t="str">
        <v>BBAS3</v>
      </c>
      <c r="E4" s="3" t="str">
        <v>Ação</v>
      </c>
      <c r="L4" s="3"/>
      <c r="M4" s="19"/>
    </row>
    <row r="5" spans="1:13" x14ac:dyDescent="0.25">
      <c r="A5" t="s">
        <v>42</v>
      </c>
      <c r="D5" s="3" t="str">
        <v>BBDC4</v>
      </c>
      <c r="E5" s="3" t="str">
        <v>Ação</v>
      </c>
      <c r="L5" s="3"/>
      <c r="M5" s="3"/>
    </row>
    <row r="6" spans="1:13" x14ac:dyDescent="0.25">
      <c r="A6" t="s">
        <v>43</v>
      </c>
      <c r="D6" s="3" t="str">
        <v>BOVA11</v>
      </c>
      <c r="E6" s="3" t="str">
        <v>ETF</v>
      </c>
      <c r="L6" s="3"/>
      <c r="M6" s="3"/>
    </row>
    <row r="7" spans="1:13" x14ac:dyDescent="0.25">
      <c r="A7" t="s">
        <v>66</v>
      </c>
      <c r="D7" s="3" t="str">
        <v>BPAN4</v>
      </c>
      <c r="E7" s="3" t="str">
        <v>Ação</v>
      </c>
      <c r="L7" s="3"/>
      <c r="M7" s="3"/>
    </row>
    <row r="8" spans="1:13" x14ac:dyDescent="0.25">
      <c r="A8" t="s">
        <v>67</v>
      </c>
      <c r="D8" s="3" t="str">
        <v>BRCR11</v>
      </c>
      <c r="E8" s="3" t="str">
        <v>FII</v>
      </c>
      <c r="L8" s="3"/>
      <c r="M8" s="32"/>
    </row>
    <row r="9" spans="1:13" x14ac:dyDescent="0.25">
      <c r="D9" s="3" t="str">
        <v>CASH3</v>
      </c>
      <c r="E9" s="3" t="str">
        <v>Ação</v>
      </c>
      <c r="L9" s="3"/>
      <c r="M9" s="3"/>
    </row>
    <row r="10" spans="1:13" x14ac:dyDescent="0.25">
      <c r="D10" s="3" t="str">
        <v>HGLG11</v>
      </c>
      <c r="E10" s="3" t="str">
        <v>FII</v>
      </c>
      <c r="L10" s="3"/>
      <c r="M10" s="31"/>
    </row>
    <row r="11" spans="1:13" x14ac:dyDescent="0.25">
      <c r="D11" s="3" t="str">
        <v>ITUB4</v>
      </c>
      <c r="E11" s="3" t="str">
        <v>Ação</v>
      </c>
      <c r="L11" s="3"/>
      <c r="M11" s="33"/>
    </row>
    <row r="12" spans="1:13" x14ac:dyDescent="0.25">
      <c r="D12" s="3" t="str">
        <v>MGLU3</v>
      </c>
      <c r="E12" s="3" t="str">
        <v>Ação</v>
      </c>
    </row>
    <row r="13" spans="1:13" x14ac:dyDescent="0.25">
      <c r="D13" s="3" t="str">
        <v>MSFT34</v>
      </c>
      <c r="E13" s="3" t="str">
        <v>BDR</v>
      </c>
    </row>
    <row r="14" spans="1:13" x14ac:dyDescent="0.25">
      <c r="D14" s="3" t="str">
        <v>PETR4</v>
      </c>
      <c r="E14" s="3" t="str">
        <v>Ação</v>
      </c>
    </row>
    <row r="15" spans="1:13" x14ac:dyDescent="0.25">
      <c r="D15" s="3" t="str">
        <v>PRNR3</v>
      </c>
      <c r="E15" s="3" t="str">
        <v>Ação</v>
      </c>
    </row>
    <row r="16" spans="1:13" x14ac:dyDescent="0.25">
      <c r="D16" s="3" t="str">
        <v>SAPR11</v>
      </c>
      <c r="E16" s="3" t="str">
        <v>Ação</v>
      </c>
    </row>
    <row r="17" spans="4:5" x14ac:dyDescent="0.25">
      <c r="D17" s="3" t="str">
        <v>SMAL11</v>
      </c>
      <c r="E17" s="3" t="str">
        <v>ETF</v>
      </c>
    </row>
    <row r="18" spans="4:5" x14ac:dyDescent="0.25">
      <c r="D18" s="3" t="str">
        <v>SQIA3</v>
      </c>
      <c r="E18" s="3" t="str">
        <v>Ação</v>
      </c>
    </row>
    <row r="19" spans="4:5" x14ac:dyDescent="0.25">
      <c r="D19" s="3" t="str">
        <v>YDUQ3</v>
      </c>
      <c r="E19" s="3" t="str">
        <v>Ação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7AFA0-5B06-4889-AB1C-48E87E7DC1E7}">
  <sheetPr codeName="Planilha11"/>
  <dimension ref="A1:U937"/>
  <sheetViews>
    <sheetView workbookViewId="0"/>
  </sheetViews>
  <sheetFormatPr defaultRowHeight="15" x14ac:dyDescent="0.25"/>
  <cols>
    <col min="1" max="1" width="10.140625" bestFit="1" customWidth="1"/>
    <col min="2" max="2" width="13.42578125" bestFit="1" customWidth="1"/>
    <col min="3" max="3" width="38.42578125" bestFit="1" customWidth="1"/>
    <col min="5" max="5" width="12.7109375" style="3" bestFit="1" customWidth="1"/>
    <col min="6" max="6" width="17.42578125" style="3" hidden="1" customWidth="1"/>
    <col min="7" max="7" width="14" style="3" hidden="1" customWidth="1"/>
    <col min="8" max="8" width="26.42578125" style="3" hidden="1" customWidth="1"/>
    <col min="9" max="9" width="9.85546875" style="3" hidden="1" customWidth="1"/>
    <col min="10" max="10" width="12.85546875" style="3" hidden="1" customWidth="1"/>
    <col min="11" max="11" width="9.85546875" style="3" hidden="1" customWidth="1"/>
    <col min="12" max="12" width="12.85546875" style="3" hidden="1" customWidth="1"/>
    <col min="13" max="13" width="9.85546875" style="3" hidden="1" customWidth="1"/>
    <col min="14" max="15" width="13.85546875" style="3" bestFit="1" customWidth="1"/>
    <col min="16" max="21" width="9.140625" style="3"/>
  </cols>
  <sheetData>
    <row r="1" spans="1:21" x14ac:dyDescent="0.25">
      <c r="A1" s="5" t="s">
        <v>54</v>
      </c>
      <c r="B1" s="5" t="s">
        <v>114</v>
      </c>
      <c r="C1" s="5" t="s">
        <v>115</v>
      </c>
      <c r="E1" s="5" t="s">
        <v>116</v>
      </c>
      <c r="F1" s="5" t="s">
        <v>118</v>
      </c>
      <c r="G1" s="5" t="s">
        <v>114</v>
      </c>
      <c r="H1" s="5" t="s">
        <v>119</v>
      </c>
      <c r="I1" s="5" t="s">
        <v>120</v>
      </c>
      <c r="J1" s="5" t="s">
        <v>121</v>
      </c>
      <c r="K1" s="5" t="s">
        <v>120</v>
      </c>
      <c r="L1" s="5" t="s">
        <v>121</v>
      </c>
      <c r="M1" s="5" t="s">
        <v>120</v>
      </c>
      <c r="N1" s="5" t="s">
        <v>117</v>
      </c>
      <c r="U1"/>
    </row>
    <row r="2" spans="1:21" x14ac:dyDescent="0.25">
      <c r="A2" s="39">
        <v>36892</v>
      </c>
      <c r="B2" t="s">
        <v>96</v>
      </c>
      <c r="C2" t="s">
        <v>97</v>
      </c>
      <c r="E2" s="26">
        <v>36892</v>
      </c>
      <c r="F2" s="26">
        <f>EOMONTH(E2,0)</f>
        <v>36922</v>
      </c>
      <c r="G2" s="19">
        <f>WEEKDAY(F2,2)</f>
        <v>3</v>
      </c>
      <c r="H2" s="26">
        <f>IF(G2=6,F2-1,IF(G2=7,F2-2,F2))</f>
        <v>36922</v>
      </c>
      <c r="I2" s="26" t="str">
        <f>IF(ISNA(VLOOKUP(H2,$A:$A,1,0)),"Não","Sim")</f>
        <v>Não</v>
      </c>
      <c r="J2" s="26">
        <f>IF(I2="Não",H2,H2-1)</f>
        <v>36922</v>
      </c>
      <c r="K2" s="26" t="str">
        <f>IF(ISNA(VLOOKUP(J2,$A:$A,1,0)),"Não","Sim")</f>
        <v>Não</v>
      </c>
      <c r="L2" s="26">
        <f>IF(K2="Não",J2,J2-1)</f>
        <v>36922</v>
      </c>
      <c r="M2" s="26" t="str">
        <f>IF(ISNA(VLOOKUP(L2,$A:$A,1,0)),"Não","Sim")</f>
        <v>Não</v>
      </c>
      <c r="N2" s="26">
        <f>IF(M2="Não",L2,L2-1)</f>
        <v>36922</v>
      </c>
    </row>
    <row r="3" spans="1:21" x14ac:dyDescent="0.25">
      <c r="A3" s="39">
        <v>36948</v>
      </c>
      <c r="B3" t="s">
        <v>96</v>
      </c>
      <c r="C3" t="s">
        <v>98</v>
      </c>
      <c r="E3" s="26">
        <v>36923</v>
      </c>
      <c r="F3" s="26">
        <f t="shared" ref="F3:F66" si="0">EOMONTH(E3,0)</f>
        <v>36950</v>
      </c>
      <c r="G3" s="19">
        <f t="shared" ref="G3:G66" si="1">WEEKDAY(F3,2)</f>
        <v>3</v>
      </c>
      <c r="H3" s="26">
        <f t="shared" ref="H3:H66" si="2">IF(G3=6,F3-1,IF(G3=7,F3-2,F3))</f>
        <v>36950</v>
      </c>
      <c r="I3" s="26" t="str">
        <f t="shared" ref="I3:K66" si="3">IF(ISNA(VLOOKUP(H3,$A:$A,1,0)),"Não","Sim")</f>
        <v>Não</v>
      </c>
      <c r="J3" s="26">
        <f t="shared" ref="J3:J66" si="4">IF(I3="Não",H3,H3-1)</f>
        <v>36950</v>
      </c>
      <c r="K3" s="26" t="str">
        <f t="shared" si="3"/>
        <v>Não</v>
      </c>
      <c r="L3" s="26">
        <f t="shared" ref="L3:L66" si="5">IF(K3="Não",J3,J3-1)</f>
        <v>36950</v>
      </c>
      <c r="M3" s="26" t="str">
        <f t="shared" ref="M3" si="6">IF(ISNA(VLOOKUP(L3,$A:$A,1,0)),"Não","Sim")</f>
        <v>Não</v>
      </c>
      <c r="N3" s="26">
        <f t="shared" ref="N3:N66" si="7">IF(M3="Não",L3,L3-1)</f>
        <v>36950</v>
      </c>
    </row>
    <row r="4" spans="1:21" x14ac:dyDescent="0.25">
      <c r="A4" s="39">
        <v>36949</v>
      </c>
      <c r="B4" t="s">
        <v>99</v>
      </c>
      <c r="C4" t="s">
        <v>98</v>
      </c>
      <c r="E4" s="26">
        <v>36951</v>
      </c>
      <c r="F4" s="26">
        <f t="shared" si="0"/>
        <v>36981</v>
      </c>
      <c r="G4" s="19">
        <f t="shared" si="1"/>
        <v>6</v>
      </c>
      <c r="H4" s="26">
        <f t="shared" si="2"/>
        <v>36980</v>
      </c>
      <c r="I4" s="26" t="str">
        <f t="shared" si="3"/>
        <v>Não</v>
      </c>
      <c r="J4" s="26">
        <f t="shared" si="4"/>
        <v>36980</v>
      </c>
      <c r="K4" s="26" t="str">
        <f t="shared" si="3"/>
        <v>Não</v>
      </c>
      <c r="L4" s="26">
        <f t="shared" si="5"/>
        <v>36980</v>
      </c>
      <c r="M4" s="26" t="str">
        <f t="shared" ref="M4" si="8">IF(ISNA(VLOOKUP(L4,$A:$A,1,0)),"Não","Sim")</f>
        <v>Não</v>
      </c>
      <c r="N4" s="26">
        <f t="shared" si="7"/>
        <v>36980</v>
      </c>
    </row>
    <row r="5" spans="1:21" x14ac:dyDescent="0.25">
      <c r="A5" s="39">
        <v>36994</v>
      </c>
      <c r="B5" t="s">
        <v>100</v>
      </c>
      <c r="C5" t="s">
        <v>101</v>
      </c>
      <c r="E5" s="26">
        <v>36982</v>
      </c>
      <c r="F5" s="26">
        <f t="shared" si="0"/>
        <v>37011</v>
      </c>
      <c r="G5" s="19">
        <f t="shared" si="1"/>
        <v>1</v>
      </c>
      <c r="H5" s="26">
        <f t="shared" si="2"/>
        <v>37011</v>
      </c>
      <c r="I5" s="26" t="str">
        <f t="shared" si="3"/>
        <v>Não</v>
      </c>
      <c r="J5" s="26">
        <f t="shared" si="4"/>
        <v>37011</v>
      </c>
      <c r="K5" s="26" t="str">
        <f t="shared" si="3"/>
        <v>Não</v>
      </c>
      <c r="L5" s="26">
        <f t="shared" si="5"/>
        <v>37011</v>
      </c>
      <c r="M5" s="26" t="str">
        <f t="shared" ref="M5" si="9">IF(ISNA(VLOOKUP(L5,$A:$A,1,0)),"Não","Sim")</f>
        <v>Não</v>
      </c>
      <c r="N5" s="26">
        <f t="shared" si="7"/>
        <v>37011</v>
      </c>
    </row>
    <row r="6" spans="1:21" x14ac:dyDescent="0.25">
      <c r="A6" s="39">
        <v>37002</v>
      </c>
      <c r="B6" t="s">
        <v>102</v>
      </c>
      <c r="C6" t="s">
        <v>103</v>
      </c>
      <c r="E6" s="26">
        <v>37012</v>
      </c>
      <c r="F6" s="26">
        <f t="shared" si="0"/>
        <v>37042</v>
      </c>
      <c r="G6" s="19">
        <f t="shared" si="1"/>
        <v>4</v>
      </c>
      <c r="H6" s="26">
        <f t="shared" si="2"/>
        <v>37042</v>
      </c>
      <c r="I6" s="26" t="str">
        <f t="shared" si="3"/>
        <v>Não</v>
      </c>
      <c r="J6" s="26">
        <f t="shared" si="4"/>
        <v>37042</v>
      </c>
      <c r="K6" s="26" t="str">
        <f t="shared" si="3"/>
        <v>Não</v>
      </c>
      <c r="L6" s="26">
        <f t="shared" si="5"/>
        <v>37042</v>
      </c>
      <c r="M6" s="26" t="str">
        <f t="shared" ref="M6" si="10">IF(ISNA(VLOOKUP(L6,$A:$A,1,0)),"Não","Sim")</f>
        <v>Não</v>
      </c>
      <c r="N6" s="26">
        <f t="shared" si="7"/>
        <v>37042</v>
      </c>
    </row>
    <row r="7" spans="1:21" x14ac:dyDescent="0.25">
      <c r="A7" s="39">
        <v>37012</v>
      </c>
      <c r="B7" t="s">
        <v>99</v>
      </c>
      <c r="C7" t="s">
        <v>104</v>
      </c>
      <c r="E7" s="26">
        <v>37043</v>
      </c>
      <c r="F7" s="26">
        <f t="shared" si="0"/>
        <v>37072</v>
      </c>
      <c r="G7" s="19">
        <f t="shared" si="1"/>
        <v>6</v>
      </c>
      <c r="H7" s="26">
        <f t="shared" si="2"/>
        <v>37071</v>
      </c>
      <c r="I7" s="26" t="str">
        <f t="shared" si="3"/>
        <v>Não</v>
      </c>
      <c r="J7" s="26">
        <f t="shared" si="4"/>
        <v>37071</v>
      </c>
      <c r="K7" s="26" t="str">
        <f t="shared" si="3"/>
        <v>Não</v>
      </c>
      <c r="L7" s="26">
        <f t="shared" si="5"/>
        <v>37071</v>
      </c>
      <c r="M7" s="26" t="str">
        <f t="shared" ref="M7" si="11">IF(ISNA(VLOOKUP(L7,$A:$A,1,0)),"Não","Sim")</f>
        <v>Não</v>
      </c>
      <c r="N7" s="26">
        <f t="shared" si="7"/>
        <v>37071</v>
      </c>
    </row>
    <row r="8" spans="1:21" x14ac:dyDescent="0.25">
      <c r="A8" s="39">
        <v>37056</v>
      </c>
      <c r="B8" t="s">
        <v>105</v>
      </c>
      <c r="C8" t="s">
        <v>106</v>
      </c>
      <c r="E8" s="26">
        <v>37073</v>
      </c>
      <c r="F8" s="26">
        <f t="shared" si="0"/>
        <v>37103</v>
      </c>
      <c r="G8" s="19">
        <f t="shared" si="1"/>
        <v>2</v>
      </c>
      <c r="H8" s="26">
        <f t="shared" si="2"/>
        <v>37103</v>
      </c>
      <c r="I8" s="26" t="str">
        <f t="shared" si="3"/>
        <v>Não</v>
      </c>
      <c r="J8" s="26">
        <f t="shared" si="4"/>
        <v>37103</v>
      </c>
      <c r="K8" s="26" t="str">
        <f t="shared" si="3"/>
        <v>Não</v>
      </c>
      <c r="L8" s="26">
        <f t="shared" si="5"/>
        <v>37103</v>
      </c>
      <c r="M8" s="26" t="str">
        <f t="shared" ref="M8" si="12">IF(ISNA(VLOOKUP(L8,$A:$A,1,0)),"Não","Sim")</f>
        <v>Não</v>
      </c>
      <c r="N8" s="26">
        <f t="shared" si="7"/>
        <v>37103</v>
      </c>
    </row>
    <row r="9" spans="1:21" x14ac:dyDescent="0.25">
      <c r="A9" s="39">
        <v>37141</v>
      </c>
      <c r="B9" t="s">
        <v>100</v>
      </c>
      <c r="C9" t="s">
        <v>107</v>
      </c>
      <c r="E9" s="26">
        <v>37104</v>
      </c>
      <c r="F9" s="26">
        <f t="shared" si="0"/>
        <v>37134</v>
      </c>
      <c r="G9" s="19">
        <f t="shared" si="1"/>
        <v>5</v>
      </c>
      <c r="H9" s="26">
        <f t="shared" si="2"/>
        <v>37134</v>
      </c>
      <c r="I9" s="26" t="str">
        <f t="shared" si="3"/>
        <v>Não</v>
      </c>
      <c r="J9" s="26">
        <f t="shared" si="4"/>
        <v>37134</v>
      </c>
      <c r="K9" s="26" t="str">
        <f t="shared" si="3"/>
        <v>Não</v>
      </c>
      <c r="L9" s="26">
        <f t="shared" si="5"/>
        <v>37134</v>
      </c>
      <c r="M9" s="26" t="str">
        <f t="shared" ref="M9" si="13">IF(ISNA(VLOOKUP(L9,$A:$A,1,0)),"Não","Sim")</f>
        <v>Não</v>
      </c>
      <c r="N9" s="26">
        <f t="shared" si="7"/>
        <v>37134</v>
      </c>
    </row>
    <row r="10" spans="1:21" x14ac:dyDescent="0.25">
      <c r="A10" s="39">
        <v>37176</v>
      </c>
      <c r="B10" t="s">
        <v>100</v>
      </c>
      <c r="C10" t="s">
        <v>108</v>
      </c>
      <c r="E10" s="26">
        <v>37135</v>
      </c>
      <c r="F10" s="26">
        <f t="shared" si="0"/>
        <v>37164</v>
      </c>
      <c r="G10" s="19">
        <f t="shared" si="1"/>
        <v>7</v>
      </c>
      <c r="H10" s="26">
        <f t="shared" si="2"/>
        <v>37162</v>
      </c>
      <c r="I10" s="26" t="str">
        <f t="shared" si="3"/>
        <v>Não</v>
      </c>
      <c r="J10" s="26">
        <f t="shared" si="4"/>
        <v>37162</v>
      </c>
      <c r="K10" s="26" t="str">
        <f t="shared" si="3"/>
        <v>Não</v>
      </c>
      <c r="L10" s="26">
        <f t="shared" si="5"/>
        <v>37162</v>
      </c>
      <c r="M10" s="26" t="str">
        <f t="shared" ref="M10" si="14">IF(ISNA(VLOOKUP(L10,$A:$A,1,0)),"Não","Sim")</f>
        <v>Não</v>
      </c>
      <c r="N10" s="26">
        <f t="shared" si="7"/>
        <v>37162</v>
      </c>
    </row>
    <row r="11" spans="1:21" x14ac:dyDescent="0.25">
      <c r="A11" s="39">
        <v>37197</v>
      </c>
      <c r="B11" t="s">
        <v>100</v>
      </c>
      <c r="C11" t="s">
        <v>109</v>
      </c>
      <c r="E11" s="26">
        <v>37165</v>
      </c>
      <c r="F11" s="26">
        <f t="shared" si="0"/>
        <v>37195</v>
      </c>
      <c r="G11" s="19">
        <f t="shared" si="1"/>
        <v>3</v>
      </c>
      <c r="H11" s="26">
        <f t="shared" si="2"/>
        <v>37195</v>
      </c>
      <c r="I11" s="26" t="str">
        <f t="shared" si="3"/>
        <v>Não</v>
      </c>
      <c r="J11" s="26">
        <f t="shared" si="4"/>
        <v>37195</v>
      </c>
      <c r="K11" s="26" t="str">
        <f t="shared" si="3"/>
        <v>Não</v>
      </c>
      <c r="L11" s="26">
        <f t="shared" si="5"/>
        <v>37195</v>
      </c>
      <c r="M11" s="26" t="str">
        <f t="shared" ref="M11" si="15">IF(ISNA(VLOOKUP(L11,$A:$A,1,0)),"Não","Sim")</f>
        <v>Não</v>
      </c>
      <c r="N11" s="26">
        <f t="shared" si="7"/>
        <v>37195</v>
      </c>
    </row>
    <row r="12" spans="1:21" x14ac:dyDescent="0.25">
      <c r="A12" s="39">
        <v>37210</v>
      </c>
      <c r="B12" t="s">
        <v>105</v>
      </c>
      <c r="C12" t="s">
        <v>110</v>
      </c>
      <c r="E12" s="26">
        <v>37196</v>
      </c>
      <c r="F12" s="26">
        <f t="shared" si="0"/>
        <v>37225</v>
      </c>
      <c r="G12" s="19">
        <f t="shared" si="1"/>
        <v>5</v>
      </c>
      <c r="H12" s="26">
        <f t="shared" si="2"/>
        <v>37225</v>
      </c>
      <c r="I12" s="26" t="str">
        <f t="shared" si="3"/>
        <v>Não</v>
      </c>
      <c r="J12" s="26">
        <f t="shared" si="4"/>
        <v>37225</v>
      </c>
      <c r="K12" s="26" t="str">
        <f t="shared" si="3"/>
        <v>Não</v>
      </c>
      <c r="L12" s="26">
        <f t="shared" si="5"/>
        <v>37225</v>
      </c>
      <c r="M12" s="26" t="str">
        <f t="shared" ref="M12" si="16">IF(ISNA(VLOOKUP(L12,$A:$A,1,0)),"Não","Sim")</f>
        <v>Não</v>
      </c>
      <c r="N12" s="26">
        <f t="shared" si="7"/>
        <v>37225</v>
      </c>
    </row>
    <row r="13" spans="1:21" x14ac:dyDescent="0.25">
      <c r="A13" s="39">
        <v>37250</v>
      </c>
      <c r="B13" t="s">
        <v>99</v>
      </c>
      <c r="C13" t="s">
        <v>111</v>
      </c>
      <c r="E13" s="26">
        <v>37226</v>
      </c>
      <c r="F13" s="26">
        <f t="shared" si="0"/>
        <v>37256</v>
      </c>
      <c r="G13" s="19">
        <f t="shared" si="1"/>
        <v>1</v>
      </c>
      <c r="H13" s="26">
        <f t="shared" si="2"/>
        <v>37256</v>
      </c>
      <c r="I13" s="26" t="str">
        <f t="shared" si="3"/>
        <v>Não</v>
      </c>
      <c r="J13" s="26">
        <f t="shared" si="4"/>
        <v>37256</v>
      </c>
      <c r="K13" s="26" t="str">
        <f t="shared" si="3"/>
        <v>Não</v>
      </c>
      <c r="L13" s="26">
        <f t="shared" si="5"/>
        <v>37256</v>
      </c>
      <c r="M13" s="26" t="str">
        <f t="shared" ref="M13" si="17">IF(ISNA(VLOOKUP(L13,$A:$A,1,0)),"Não","Sim")</f>
        <v>Não</v>
      </c>
      <c r="N13" s="26">
        <f t="shared" si="7"/>
        <v>37256</v>
      </c>
    </row>
    <row r="14" spans="1:21" x14ac:dyDescent="0.25">
      <c r="A14" s="39">
        <v>37257</v>
      </c>
      <c r="B14" t="s">
        <v>99</v>
      </c>
      <c r="C14" t="s">
        <v>97</v>
      </c>
      <c r="E14" s="26">
        <v>37257</v>
      </c>
      <c r="F14" s="26">
        <f t="shared" si="0"/>
        <v>37287</v>
      </c>
      <c r="G14" s="19">
        <f t="shared" si="1"/>
        <v>4</v>
      </c>
      <c r="H14" s="26">
        <f t="shared" si="2"/>
        <v>37287</v>
      </c>
      <c r="I14" s="26" t="str">
        <f t="shared" si="3"/>
        <v>Não</v>
      </c>
      <c r="J14" s="26">
        <f t="shared" si="4"/>
        <v>37287</v>
      </c>
      <c r="K14" s="26" t="str">
        <f t="shared" si="3"/>
        <v>Não</v>
      </c>
      <c r="L14" s="26">
        <f t="shared" si="5"/>
        <v>37287</v>
      </c>
      <c r="M14" s="26" t="str">
        <f t="shared" ref="M14" si="18">IF(ISNA(VLOOKUP(L14,$A:$A,1,0)),"Não","Sim")</f>
        <v>Não</v>
      </c>
      <c r="N14" s="26">
        <f t="shared" si="7"/>
        <v>37287</v>
      </c>
    </row>
    <row r="15" spans="1:21" x14ac:dyDescent="0.25">
      <c r="A15" s="39">
        <v>37298</v>
      </c>
      <c r="B15" t="s">
        <v>96</v>
      </c>
      <c r="C15" t="s">
        <v>98</v>
      </c>
      <c r="E15" s="26">
        <v>37288</v>
      </c>
      <c r="F15" s="26">
        <f t="shared" si="0"/>
        <v>37315</v>
      </c>
      <c r="G15" s="19">
        <f t="shared" si="1"/>
        <v>4</v>
      </c>
      <c r="H15" s="26">
        <f t="shared" si="2"/>
        <v>37315</v>
      </c>
      <c r="I15" s="26" t="str">
        <f t="shared" si="3"/>
        <v>Não</v>
      </c>
      <c r="J15" s="26">
        <f t="shared" si="4"/>
        <v>37315</v>
      </c>
      <c r="K15" s="26" t="str">
        <f t="shared" si="3"/>
        <v>Não</v>
      </c>
      <c r="L15" s="26">
        <f t="shared" si="5"/>
        <v>37315</v>
      </c>
      <c r="M15" s="26" t="str">
        <f t="shared" ref="M15" si="19">IF(ISNA(VLOOKUP(L15,$A:$A,1,0)),"Não","Sim")</f>
        <v>Não</v>
      </c>
      <c r="N15" s="26">
        <f t="shared" si="7"/>
        <v>37315</v>
      </c>
    </row>
    <row r="16" spans="1:21" x14ac:dyDescent="0.25">
      <c r="A16" s="39">
        <v>37299</v>
      </c>
      <c r="B16" t="s">
        <v>99</v>
      </c>
      <c r="C16" t="s">
        <v>98</v>
      </c>
      <c r="E16" s="26">
        <v>37316</v>
      </c>
      <c r="F16" s="26">
        <f t="shared" si="0"/>
        <v>37346</v>
      </c>
      <c r="G16" s="19">
        <f t="shared" si="1"/>
        <v>7</v>
      </c>
      <c r="H16" s="26">
        <f t="shared" si="2"/>
        <v>37344</v>
      </c>
      <c r="I16" s="26" t="str">
        <f t="shared" si="3"/>
        <v>Sim</v>
      </c>
      <c r="J16" s="26">
        <f t="shared" si="4"/>
        <v>37343</v>
      </c>
      <c r="K16" s="26" t="str">
        <f t="shared" si="3"/>
        <v>Não</v>
      </c>
      <c r="L16" s="26">
        <f t="shared" si="5"/>
        <v>37343</v>
      </c>
      <c r="M16" s="26" t="str">
        <f t="shared" ref="M16" si="20">IF(ISNA(VLOOKUP(L16,$A:$A,1,0)),"Não","Sim")</f>
        <v>Não</v>
      </c>
      <c r="N16" s="26">
        <f t="shared" si="7"/>
        <v>37343</v>
      </c>
    </row>
    <row r="17" spans="1:14" x14ac:dyDescent="0.25">
      <c r="A17" s="39">
        <v>37344</v>
      </c>
      <c r="B17" t="s">
        <v>100</v>
      </c>
      <c r="C17" t="s">
        <v>101</v>
      </c>
      <c r="E17" s="26">
        <v>37347</v>
      </c>
      <c r="F17" s="26">
        <f t="shared" si="0"/>
        <v>37376</v>
      </c>
      <c r="G17" s="19">
        <f t="shared" si="1"/>
        <v>2</v>
      </c>
      <c r="H17" s="26">
        <f t="shared" si="2"/>
        <v>37376</v>
      </c>
      <c r="I17" s="26" t="str">
        <f t="shared" si="3"/>
        <v>Não</v>
      </c>
      <c r="J17" s="26">
        <f t="shared" si="4"/>
        <v>37376</v>
      </c>
      <c r="K17" s="26" t="str">
        <f t="shared" si="3"/>
        <v>Não</v>
      </c>
      <c r="L17" s="26">
        <f t="shared" si="5"/>
        <v>37376</v>
      </c>
      <c r="M17" s="26" t="str">
        <f t="shared" ref="M17" si="21">IF(ISNA(VLOOKUP(L17,$A:$A,1,0)),"Não","Sim")</f>
        <v>Não</v>
      </c>
      <c r="N17" s="26">
        <f t="shared" si="7"/>
        <v>37376</v>
      </c>
    </row>
    <row r="18" spans="1:14" x14ac:dyDescent="0.25">
      <c r="A18" s="39">
        <v>37367</v>
      </c>
      <c r="B18" t="s">
        <v>112</v>
      </c>
      <c r="C18" t="s">
        <v>103</v>
      </c>
      <c r="E18" s="26">
        <v>37377</v>
      </c>
      <c r="F18" s="26">
        <f t="shared" si="0"/>
        <v>37407</v>
      </c>
      <c r="G18" s="19">
        <f t="shared" si="1"/>
        <v>5</v>
      </c>
      <c r="H18" s="26">
        <f t="shared" si="2"/>
        <v>37407</v>
      </c>
      <c r="I18" s="26" t="str">
        <f t="shared" si="3"/>
        <v>Não</v>
      </c>
      <c r="J18" s="26">
        <f t="shared" si="4"/>
        <v>37407</v>
      </c>
      <c r="K18" s="26" t="str">
        <f t="shared" si="3"/>
        <v>Não</v>
      </c>
      <c r="L18" s="26">
        <f t="shared" si="5"/>
        <v>37407</v>
      </c>
      <c r="M18" s="26" t="str">
        <f t="shared" ref="M18" si="22">IF(ISNA(VLOOKUP(L18,$A:$A,1,0)),"Não","Sim")</f>
        <v>Não</v>
      </c>
      <c r="N18" s="26">
        <f t="shared" si="7"/>
        <v>37407</v>
      </c>
    </row>
    <row r="19" spans="1:14" x14ac:dyDescent="0.25">
      <c r="A19" s="39">
        <v>37377</v>
      </c>
      <c r="B19" t="s">
        <v>113</v>
      </c>
      <c r="C19" t="s">
        <v>104</v>
      </c>
      <c r="E19" s="26">
        <v>37408</v>
      </c>
      <c r="F19" s="26">
        <f t="shared" si="0"/>
        <v>37437</v>
      </c>
      <c r="G19" s="19">
        <f t="shared" si="1"/>
        <v>7</v>
      </c>
      <c r="H19" s="26">
        <f t="shared" si="2"/>
        <v>37435</v>
      </c>
      <c r="I19" s="26" t="str">
        <f t="shared" si="3"/>
        <v>Não</v>
      </c>
      <c r="J19" s="26">
        <f t="shared" si="4"/>
        <v>37435</v>
      </c>
      <c r="K19" s="26" t="str">
        <f t="shared" si="3"/>
        <v>Não</v>
      </c>
      <c r="L19" s="26">
        <f t="shared" si="5"/>
        <v>37435</v>
      </c>
      <c r="M19" s="26" t="str">
        <f t="shared" ref="M19" si="23">IF(ISNA(VLOOKUP(L19,$A:$A,1,0)),"Não","Sim")</f>
        <v>Não</v>
      </c>
      <c r="N19" s="26">
        <f t="shared" si="7"/>
        <v>37435</v>
      </c>
    </row>
    <row r="20" spans="1:14" x14ac:dyDescent="0.25">
      <c r="A20" s="39">
        <v>37406</v>
      </c>
      <c r="B20" t="s">
        <v>105</v>
      </c>
      <c r="C20" t="s">
        <v>106</v>
      </c>
      <c r="E20" s="26">
        <v>37438</v>
      </c>
      <c r="F20" s="26">
        <f t="shared" si="0"/>
        <v>37468</v>
      </c>
      <c r="G20" s="19">
        <f t="shared" si="1"/>
        <v>3</v>
      </c>
      <c r="H20" s="26">
        <f t="shared" si="2"/>
        <v>37468</v>
      </c>
      <c r="I20" s="26" t="str">
        <f t="shared" si="3"/>
        <v>Não</v>
      </c>
      <c r="J20" s="26">
        <f t="shared" si="4"/>
        <v>37468</v>
      </c>
      <c r="K20" s="26" t="str">
        <f t="shared" si="3"/>
        <v>Não</v>
      </c>
      <c r="L20" s="26">
        <f t="shared" si="5"/>
        <v>37468</v>
      </c>
      <c r="M20" s="26" t="str">
        <f t="shared" ref="M20" si="24">IF(ISNA(VLOOKUP(L20,$A:$A,1,0)),"Não","Sim")</f>
        <v>Não</v>
      </c>
      <c r="N20" s="26">
        <f t="shared" si="7"/>
        <v>37468</v>
      </c>
    </row>
    <row r="21" spans="1:14" x14ac:dyDescent="0.25">
      <c r="A21" s="39">
        <v>37506</v>
      </c>
      <c r="B21" t="s">
        <v>102</v>
      </c>
      <c r="C21" t="s">
        <v>107</v>
      </c>
      <c r="E21" s="26">
        <v>37469</v>
      </c>
      <c r="F21" s="26">
        <f t="shared" si="0"/>
        <v>37499</v>
      </c>
      <c r="G21" s="19">
        <f t="shared" si="1"/>
        <v>6</v>
      </c>
      <c r="H21" s="26">
        <f t="shared" si="2"/>
        <v>37498</v>
      </c>
      <c r="I21" s="26" t="str">
        <f t="shared" si="3"/>
        <v>Não</v>
      </c>
      <c r="J21" s="26">
        <f t="shared" si="4"/>
        <v>37498</v>
      </c>
      <c r="K21" s="26" t="str">
        <f t="shared" si="3"/>
        <v>Não</v>
      </c>
      <c r="L21" s="26">
        <f t="shared" si="5"/>
        <v>37498</v>
      </c>
      <c r="M21" s="26" t="str">
        <f t="shared" ref="M21" si="25">IF(ISNA(VLOOKUP(L21,$A:$A,1,0)),"Não","Sim")</f>
        <v>Não</v>
      </c>
      <c r="N21" s="26">
        <f t="shared" si="7"/>
        <v>37498</v>
      </c>
    </row>
    <row r="22" spans="1:14" x14ac:dyDescent="0.25">
      <c r="A22" s="39">
        <v>37541</v>
      </c>
      <c r="B22" t="s">
        <v>102</v>
      </c>
      <c r="C22" t="s">
        <v>108</v>
      </c>
      <c r="E22" s="26">
        <v>37500</v>
      </c>
      <c r="F22" s="26">
        <f t="shared" si="0"/>
        <v>37529</v>
      </c>
      <c r="G22" s="19">
        <f t="shared" si="1"/>
        <v>1</v>
      </c>
      <c r="H22" s="26">
        <f t="shared" si="2"/>
        <v>37529</v>
      </c>
      <c r="I22" s="26" t="str">
        <f t="shared" si="3"/>
        <v>Não</v>
      </c>
      <c r="J22" s="26">
        <f t="shared" si="4"/>
        <v>37529</v>
      </c>
      <c r="K22" s="26" t="str">
        <f t="shared" si="3"/>
        <v>Não</v>
      </c>
      <c r="L22" s="26">
        <f t="shared" si="5"/>
        <v>37529</v>
      </c>
      <c r="M22" s="26" t="str">
        <f t="shared" ref="M22" si="26">IF(ISNA(VLOOKUP(L22,$A:$A,1,0)),"Não","Sim")</f>
        <v>Não</v>
      </c>
      <c r="N22" s="26">
        <f t="shared" si="7"/>
        <v>37529</v>
      </c>
    </row>
    <row r="23" spans="1:14" x14ac:dyDescent="0.25">
      <c r="A23" s="39">
        <v>37562</v>
      </c>
      <c r="B23" t="s">
        <v>102</v>
      </c>
      <c r="C23" t="s">
        <v>109</v>
      </c>
      <c r="E23" s="26">
        <v>37530</v>
      </c>
      <c r="F23" s="26">
        <f t="shared" si="0"/>
        <v>37560</v>
      </c>
      <c r="G23" s="19">
        <f t="shared" si="1"/>
        <v>4</v>
      </c>
      <c r="H23" s="26">
        <f t="shared" si="2"/>
        <v>37560</v>
      </c>
      <c r="I23" s="26" t="str">
        <f t="shared" si="3"/>
        <v>Não</v>
      </c>
      <c r="J23" s="26">
        <f t="shared" si="4"/>
        <v>37560</v>
      </c>
      <c r="K23" s="26" t="str">
        <f t="shared" si="3"/>
        <v>Não</v>
      </c>
      <c r="L23" s="26">
        <f t="shared" si="5"/>
        <v>37560</v>
      </c>
      <c r="M23" s="26" t="str">
        <f t="shared" ref="M23" si="27">IF(ISNA(VLOOKUP(L23,$A:$A,1,0)),"Não","Sim")</f>
        <v>Não</v>
      </c>
      <c r="N23" s="26">
        <f t="shared" si="7"/>
        <v>37560</v>
      </c>
    </row>
    <row r="24" spans="1:14" x14ac:dyDescent="0.25">
      <c r="A24" s="39">
        <v>37575</v>
      </c>
      <c r="B24" t="s">
        <v>100</v>
      </c>
      <c r="C24" t="s">
        <v>110</v>
      </c>
      <c r="E24" s="26">
        <v>37561</v>
      </c>
      <c r="F24" s="26">
        <f t="shared" si="0"/>
        <v>37590</v>
      </c>
      <c r="G24" s="19">
        <f t="shared" si="1"/>
        <v>6</v>
      </c>
      <c r="H24" s="26">
        <f t="shared" si="2"/>
        <v>37589</v>
      </c>
      <c r="I24" s="26" t="str">
        <f t="shared" si="3"/>
        <v>Não</v>
      </c>
      <c r="J24" s="26">
        <f t="shared" si="4"/>
        <v>37589</v>
      </c>
      <c r="K24" s="26" t="str">
        <f t="shared" si="3"/>
        <v>Não</v>
      </c>
      <c r="L24" s="26">
        <f t="shared" si="5"/>
        <v>37589</v>
      </c>
      <c r="M24" s="26" t="str">
        <f t="shared" ref="M24" si="28">IF(ISNA(VLOOKUP(L24,$A:$A,1,0)),"Não","Sim")</f>
        <v>Não</v>
      </c>
      <c r="N24" s="26">
        <f t="shared" si="7"/>
        <v>37589</v>
      </c>
    </row>
    <row r="25" spans="1:14" x14ac:dyDescent="0.25">
      <c r="A25" s="39">
        <v>37615</v>
      </c>
      <c r="B25" t="s">
        <v>113</v>
      </c>
      <c r="C25" t="s">
        <v>111</v>
      </c>
      <c r="E25" s="26">
        <v>37591</v>
      </c>
      <c r="F25" s="26">
        <f t="shared" si="0"/>
        <v>37621</v>
      </c>
      <c r="G25" s="19">
        <f t="shared" si="1"/>
        <v>2</v>
      </c>
      <c r="H25" s="26">
        <f t="shared" si="2"/>
        <v>37621</v>
      </c>
      <c r="I25" s="26" t="str">
        <f t="shared" si="3"/>
        <v>Não</v>
      </c>
      <c r="J25" s="26">
        <f t="shared" si="4"/>
        <v>37621</v>
      </c>
      <c r="K25" s="26" t="str">
        <f t="shared" si="3"/>
        <v>Não</v>
      </c>
      <c r="L25" s="26">
        <f t="shared" si="5"/>
        <v>37621</v>
      </c>
      <c r="M25" s="26" t="str">
        <f t="shared" ref="M25" si="29">IF(ISNA(VLOOKUP(L25,$A:$A,1,0)),"Não","Sim")</f>
        <v>Não</v>
      </c>
      <c r="N25" s="26">
        <f t="shared" si="7"/>
        <v>37621</v>
      </c>
    </row>
    <row r="26" spans="1:14" x14ac:dyDescent="0.25">
      <c r="A26" s="39">
        <v>37622</v>
      </c>
      <c r="B26" t="s">
        <v>113</v>
      </c>
      <c r="C26" t="s">
        <v>97</v>
      </c>
      <c r="E26" s="26">
        <v>37622</v>
      </c>
      <c r="F26" s="26">
        <f t="shared" si="0"/>
        <v>37652</v>
      </c>
      <c r="G26" s="19">
        <f t="shared" si="1"/>
        <v>5</v>
      </c>
      <c r="H26" s="26">
        <f t="shared" si="2"/>
        <v>37652</v>
      </c>
      <c r="I26" s="26" t="str">
        <f t="shared" si="3"/>
        <v>Não</v>
      </c>
      <c r="J26" s="26">
        <f t="shared" si="4"/>
        <v>37652</v>
      </c>
      <c r="K26" s="26" t="str">
        <f t="shared" si="3"/>
        <v>Não</v>
      </c>
      <c r="L26" s="26">
        <f t="shared" si="5"/>
        <v>37652</v>
      </c>
      <c r="M26" s="26" t="str">
        <f t="shared" ref="M26" si="30">IF(ISNA(VLOOKUP(L26,$A:$A,1,0)),"Não","Sim")</f>
        <v>Não</v>
      </c>
      <c r="N26" s="26">
        <f t="shared" si="7"/>
        <v>37652</v>
      </c>
    </row>
    <row r="27" spans="1:14" x14ac:dyDescent="0.25">
      <c r="A27" s="39">
        <v>37683</v>
      </c>
      <c r="B27" t="s">
        <v>96</v>
      </c>
      <c r="C27" t="s">
        <v>98</v>
      </c>
      <c r="E27" s="26">
        <v>37653</v>
      </c>
      <c r="F27" s="26">
        <f t="shared" si="0"/>
        <v>37680</v>
      </c>
      <c r="G27" s="19">
        <f t="shared" si="1"/>
        <v>5</v>
      </c>
      <c r="H27" s="26">
        <f t="shared" si="2"/>
        <v>37680</v>
      </c>
      <c r="I27" s="26" t="str">
        <f t="shared" si="3"/>
        <v>Não</v>
      </c>
      <c r="J27" s="26">
        <f t="shared" si="4"/>
        <v>37680</v>
      </c>
      <c r="K27" s="26" t="str">
        <f t="shared" si="3"/>
        <v>Não</v>
      </c>
      <c r="L27" s="26">
        <f t="shared" si="5"/>
        <v>37680</v>
      </c>
      <c r="M27" s="26" t="str">
        <f t="shared" ref="M27" si="31">IF(ISNA(VLOOKUP(L27,$A:$A,1,0)),"Não","Sim")</f>
        <v>Não</v>
      </c>
      <c r="N27" s="26">
        <f t="shared" si="7"/>
        <v>37680</v>
      </c>
    </row>
    <row r="28" spans="1:14" x14ac:dyDescent="0.25">
      <c r="A28" s="39">
        <v>37684</v>
      </c>
      <c r="B28" t="s">
        <v>99</v>
      </c>
      <c r="C28" t="s">
        <v>98</v>
      </c>
      <c r="E28" s="26">
        <v>37681</v>
      </c>
      <c r="F28" s="26">
        <f t="shared" si="0"/>
        <v>37711</v>
      </c>
      <c r="G28" s="19">
        <f t="shared" si="1"/>
        <v>1</v>
      </c>
      <c r="H28" s="26">
        <f t="shared" si="2"/>
        <v>37711</v>
      </c>
      <c r="I28" s="26" t="str">
        <f t="shared" si="3"/>
        <v>Não</v>
      </c>
      <c r="J28" s="26">
        <f t="shared" si="4"/>
        <v>37711</v>
      </c>
      <c r="K28" s="26" t="str">
        <f t="shared" si="3"/>
        <v>Não</v>
      </c>
      <c r="L28" s="26">
        <f t="shared" si="5"/>
        <v>37711</v>
      </c>
      <c r="M28" s="26" t="str">
        <f t="shared" ref="M28" si="32">IF(ISNA(VLOOKUP(L28,$A:$A,1,0)),"Não","Sim")</f>
        <v>Não</v>
      </c>
      <c r="N28" s="26">
        <f t="shared" si="7"/>
        <v>37711</v>
      </c>
    </row>
    <row r="29" spans="1:14" x14ac:dyDescent="0.25">
      <c r="A29" s="39">
        <v>37729</v>
      </c>
      <c r="B29" t="s">
        <v>100</v>
      </c>
      <c r="C29" t="s">
        <v>101</v>
      </c>
      <c r="E29" s="26">
        <v>37712</v>
      </c>
      <c r="F29" s="26">
        <f t="shared" si="0"/>
        <v>37741</v>
      </c>
      <c r="G29" s="19">
        <f t="shared" si="1"/>
        <v>3</v>
      </c>
      <c r="H29" s="26">
        <f t="shared" si="2"/>
        <v>37741</v>
      </c>
      <c r="I29" s="26" t="str">
        <f t="shared" si="3"/>
        <v>Não</v>
      </c>
      <c r="J29" s="26">
        <f t="shared" si="4"/>
        <v>37741</v>
      </c>
      <c r="K29" s="26" t="str">
        <f t="shared" si="3"/>
        <v>Não</v>
      </c>
      <c r="L29" s="26">
        <f t="shared" si="5"/>
        <v>37741</v>
      </c>
      <c r="M29" s="26" t="str">
        <f t="shared" ref="M29" si="33">IF(ISNA(VLOOKUP(L29,$A:$A,1,0)),"Não","Sim")</f>
        <v>Não</v>
      </c>
      <c r="N29" s="26">
        <f t="shared" si="7"/>
        <v>37741</v>
      </c>
    </row>
    <row r="30" spans="1:14" x14ac:dyDescent="0.25">
      <c r="A30" s="39">
        <v>37732</v>
      </c>
      <c r="B30" t="s">
        <v>96</v>
      </c>
      <c r="C30" t="s">
        <v>103</v>
      </c>
      <c r="E30" s="26">
        <v>37742</v>
      </c>
      <c r="F30" s="26">
        <f t="shared" si="0"/>
        <v>37772</v>
      </c>
      <c r="G30" s="19">
        <f t="shared" si="1"/>
        <v>6</v>
      </c>
      <c r="H30" s="26">
        <f t="shared" si="2"/>
        <v>37771</v>
      </c>
      <c r="I30" s="26" t="str">
        <f t="shared" si="3"/>
        <v>Não</v>
      </c>
      <c r="J30" s="26">
        <f t="shared" si="4"/>
        <v>37771</v>
      </c>
      <c r="K30" s="26" t="str">
        <f t="shared" si="3"/>
        <v>Não</v>
      </c>
      <c r="L30" s="26">
        <f t="shared" si="5"/>
        <v>37771</v>
      </c>
      <c r="M30" s="26" t="str">
        <f t="shared" ref="M30" si="34">IF(ISNA(VLOOKUP(L30,$A:$A,1,0)),"Não","Sim")</f>
        <v>Não</v>
      </c>
      <c r="N30" s="26">
        <f t="shared" si="7"/>
        <v>37771</v>
      </c>
    </row>
    <row r="31" spans="1:14" x14ac:dyDescent="0.25">
      <c r="A31" s="39">
        <v>37742</v>
      </c>
      <c r="B31" t="s">
        <v>105</v>
      </c>
      <c r="C31" t="s">
        <v>104</v>
      </c>
      <c r="E31" s="26">
        <v>37773</v>
      </c>
      <c r="F31" s="26">
        <f t="shared" si="0"/>
        <v>37802</v>
      </c>
      <c r="G31" s="19">
        <f t="shared" si="1"/>
        <v>1</v>
      </c>
      <c r="H31" s="26">
        <f t="shared" si="2"/>
        <v>37802</v>
      </c>
      <c r="I31" s="26" t="str">
        <f t="shared" si="3"/>
        <v>Não</v>
      </c>
      <c r="J31" s="26">
        <f t="shared" si="4"/>
        <v>37802</v>
      </c>
      <c r="K31" s="26" t="str">
        <f t="shared" si="3"/>
        <v>Não</v>
      </c>
      <c r="L31" s="26">
        <f t="shared" si="5"/>
        <v>37802</v>
      </c>
      <c r="M31" s="26" t="str">
        <f t="shared" ref="M31" si="35">IF(ISNA(VLOOKUP(L31,$A:$A,1,0)),"Não","Sim")</f>
        <v>Não</v>
      </c>
      <c r="N31" s="26">
        <f t="shared" si="7"/>
        <v>37802</v>
      </c>
    </row>
    <row r="32" spans="1:14" x14ac:dyDescent="0.25">
      <c r="A32" s="39">
        <v>37791</v>
      </c>
      <c r="B32" t="s">
        <v>105</v>
      </c>
      <c r="C32" t="s">
        <v>106</v>
      </c>
      <c r="E32" s="26">
        <v>37803</v>
      </c>
      <c r="F32" s="26">
        <f t="shared" si="0"/>
        <v>37833</v>
      </c>
      <c r="G32" s="19">
        <f t="shared" si="1"/>
        <v>4</v>
      </c>
      <c r="H32" s="26">
        <f t="shared" si="2"/>
        <v>37833</v>
      </c>
      <c r="I32" s="26" t="str">
        <f t="shared" si="3"/>
        <v>Não</v>
      </c>
      <c r="J32" s="26">
        <f t="shared" si="4"/>
        <v>37833</v>
      </c>
      <c r="K32" s="26" t="str">
        <f t="shared" si="3"/>
        <v>Não</v>
      </c>
      <c r="L32" s="26">
        <f t="shared" si="5"/>
        <v>37833</v>
      </c>
      <c r="M32" s="26" t="str">
        <f t="shared" ref="M32" si="36">IF(ISNA(VLOOKUP(L32,$A:$A,1,0)),"Não","Sim")</f>
        <v>Não</v>
      </c>
      <c r="N32" s="26">
        <f t="shared" si="7"/>
        <v>37833</v>
      </c>
    </row>
    <row r="33" spans="1:14" x14ac:dyDescent="0.25">
      <c r="A33" s="39">
        <v>37871</v>
      </c>
      <c r="B33" t="s">
        <v>112</v>
      </c>
      <c r="C33" t="s">
        <v>107</v>
      </c>
      <c r="E33" s="26">
        <v>37834</v>
      </c>
      <c r="F33" s="26">
        <f t="shared" si="0"/>
        <v>37864</v>
      </c>
      <c r="G33" s="19">
        <f t="shared" si="1"/>
        <v>7</v>
      </c>
      <c r="H33" s="26">
        <f t="shared" si="2"/>
        <v>37862</v>
      </c>
      <c r="I33" s="26" t="str">
        <f t="shared" si="3"/>
        <v>Não</v>
      </c>
      <c r="J33" s="26">
        <f t="shared" si="4"/>
        <v>37862</v>
      </c>
      <c r="K33" s="26" t="str">
        <f t="shared" si="3"/>
        <v>Não</v>
      </c>
      <c r="L33" s="26">
        <f t="shared" si="5"/>
        <v>37862</v>
      </c>
      <c r="M33" s="26" t="str">
        <f t="shared" ref="M33" si="37">IF(ISNA(VLOOKUP(L33,$A:$A,1,0)),"Não","Sim")</f>
        <v>Não</v>
      </c>
      <c r="N33" s="26">
        <f t="shared" si="7"/>
        <v>37862</v>
      </c>
    </row>
    <row r="34" spans="1:14" x14ac:dyDescent="0.25">
      <c r="A34" s="39">
        <v>37906</v>
      </c>
      <c r="B34" t="s">
        <v>112</v>
      </c>
      <c r="C34" t="s">
        <v>108</v>
      </c>
      <c r="E34" s="26">
        <v>37865</v>
      </c>
      <c r="F34" s="26">
        <f t="shared" si="0"/>
        <v>37894</v>
      </c>
      <c r="G34" s="19">
        <f t="shared" si="1"/>
        <v>2</v>
      </c>
      <c r="H34" s="26">
        <f t="shared" si="2"/>
        <v>37894</v>
      </c>
      <c r="I34" s="26" t="str">
        <f t="shared" si="3"/>
        <v>Não</v>
      </c>
      <c r="J34" s="26">
        <f t="shared" si="4"/>
        <v>37894</v>
      </c>
      <c r="K34" s="26" t="str">
        <f t="shared" si="3"/>
        <v>Não</v>
      </c>
      <c r="L34" s="26">
        <f t="shared" si="5"/>
        <v>37894</v>
      </c>
      <c r="M34" s="26" t="str">
        <f t="shared" ref="M34" si="38">IF(ISNA(VLOOKUP(L34,$A:$A,1,0)),"Não","Sim")</f>
        <v>Não</v>
      </c>
      <c r="N34" s="26">
        <f t="shared" si="7"/>
        <v>37894</v>
      </c>
    </row>
    <row r="35" spans="1:14" x14ac:dyDescent="0.25">
      <c r="A35" s="39">
        <v>37927</v>
      </c>
      <c r="B35" t="s">
        <v>112</v>
      </c>
      <c r="C35" t="s">
        <v>109</v>
      </c>
      <c r="E35" s="26">
        <v>37895</v>
      </c>
      <c r="F35" s="26">
        <f t="shared" si="0"/>
        <v>37925</v>
      </c>
      <c r="G35" s="19">
        <f t="shared" si="1"/>
        <v>5</v>
      </c>
      <c r="H35" s="26">
        <f t="shared" si="2"/>
        <v>37925</v>
      </c>
      <c r="I35" s="26" t="str">
        <f t="shared" si="3"/>
        <v>Não</v>
      </c>
      <c r="J35" s="26">
        <f t="shared" si="4"/>
        <v>37925</v>
      </c>
      <c r="K35" s="26" t="str">
        <f t="shared" si="3"/>
        <v>Não</v>
      </c>
      <c r="L35" s="26">
        <f t="shared" si="5"/>
        <v>37925</v>
      </c>
      <c r="M35" s="26" t="str">
        <f t="shared" ref="M35" si="39">IF(ISNA(VLOOKUP(L35,$A:$A,1,0)),"Não","Sim")</f>
        <v>Não</v>
      </c>
      <c r="N35" s="26">
        <f t="shared" si="7"/>
        <v>37925</v>
      </c>
    </row>
    <row r="36" spans="1:14" x14ac:dyDescent="0.25">
      <c r="A36" s="39">
        <v>37940</v>
      </c>
      <c r="B36" t="s">
        <v>102</v>
      </c>
      <c r="C36" t="s">
        <v>110</v>
      </c>
      <c r="E36" s="26">
        <v>37926</v>
      </c>
      <c r="F36" s="26">
        <f t="shared" si="0"/>
        <v>37955</v>
      </c>
      <c r="G36" s="19">
        <f t="shared" si="1"/>
        <v>7</v>
      </c>
      <c r="H36" s="26">
        <f t="shared" si="2"/>
        <v>37953</v>
      </c>
      <c r="I36" s="26" t="str">
        <f t="shared" si="3"/>
        <v>Não</v>
      </c>
      <c r="J36" s="26">
        <f t="shared" si="4"/>
        <v>37953</v>
      </c>
      <c r="K36" s="26" t="str">
        <f t="shared" si="3"/>
        <v>Não</v>
      </c>
      <c r="L36" s="26">
        <f t="shared" si="5"/>
        <v>37953</v>
      </c>
      <c r="M36" s="26" t="str">
        <f t="shared" ref="M36" si="40">IF(ISNA(VLOOKUP(L36,$A:$A,1,0)),"Não","Sim")</f>
        <v>Não</v>
      </c>
      <c r="N36" s="26">
        <f t="shared" si="7"/>
        <v>37953</v>
      </c>
    </row>
    <row r="37" spans="1:14" x14ac:dyDescent="0.25">
      <c r="A37" s="39">
        <v>37980</v>
      </c>
      <c r="B37" t="s">
        <v>105</v>
      </c>
      <c r="C37" t="s">
        <v>111</v>
      </c>
      <c r="E37" s="26">
        <v>37956</v>
      </c>
      <c r="F37" s="26">
        <f t="shared" si="0"/>
        <v>37986</v>
      </c>
      <c r="G37" s="19">
        <f t="shared" si="1"/>
        <v>3</v>
      </c>
      <c r="H37" s="26">
        <f t="shared" si="2"/>
        <v>37986</v>
      </c>
      <c r="I37" s="26" t="str">
        <f t="shared" si="3"/>
        <v>Não</v>
      </c>
      <c r="J37" s="26">
        <f t="shared" si="4"/>
        <v>37986</v>
      </c>
      <c r="K37" s="26" t="str">
        <f t="shared" si="3"/>
        <v>Não</v>
      </c>
      <c r="L37" s="26">
        <f t="shared" si="5"/>
        <v>37986</v>
      </c>
      <c r="M37" s="26" t="str">
        <f t="shared" ref="M37" si="41">IF(ISNA(VLOOKUP(L37,$A:$A,1,0)),"Não","Sim")</f>
        <v>Não</v>
      </c>
      <c r="N37" s="26">
        <f t="shared" si="7"/>
        <v>37986</v>
      </c>
    </row>
    <row r="38" spans="1:14" x14ac:dyDescent="0.25">
      <c r="A38" s="39">
        <v>37987</v>
      </c>
      <c r="B38" t="s">
        <v>105</v>
      </c>
      <c r="C38" t="s">
        <v>97</v>
      </c>
      <c r="E38" s="26">
        <v>37987</v>
      </c>
      <c r="F38" s="26">
        <f t="shared" si="0"/>
        <v>38017</v>
      </c>
      <c r="G38" s="19">
        <f t="shared" si="1"/>
        <v>6</v>
      </c>
      <c r="H38" s="26">
        <f t="shared" si="2"/>
        <v>38016</v>
      </c>
      <c r="I38" s="26" t="str">
        <f t="shared" si="3"/>
        <v>Não</v>
      </c>
      <c r="J38" s="26">
        <f t="shared" si="4"/>
        <v>38016</v>
      </c>
      <c r="K38" s="26" t="str">
        <f t="shared" si="3"/>
        <v>Não</v>
      </c>
      <c r="L38" s="26">
        <f t="shared" si="5"/>
        <v>38016</v>
      </c>
      <c r="M38" s="26" t="str">
        <f t="shared" ref="M38" si="42">IF(ISNA(VLOOKUP(L38,$A:$A,1,0)),"Não","Sim")</f>
        <v>Não</v>
      </c>
      <c r="N38" s="26">
        <f t="shared" si="7"/>
        <v>38016</v>
      </c>
    </row>
    <row r="39" spans="1:14" x14ac:dyDescent="0.25">
      <c r="A39" s="39">
        <v>38040</v>
      </c>
      <c r="B39" t="s">
        <v>96</v>
      </c>
      <c r="C39" t="s">
        <v>98</v>
      </c>
      <c r="E39" s="26">
        <v>38018</v>
      </c>
      <c r="F39" s="26">
        <f t="shared" si="0"/>
        <v>38046</v>
      </c>
      <c r="G39" s="19">
        <f t="shared" si="1"/>
        <v>7</v>
      </c>
      <c r="H39" s="26">
        <f t="shared" si="2"/>
        <v>38044</v>
      </c>
      <c r="I39" s="26" t="str">
        <f t="shared" si="3"/>
        <v>Não</v>
      </c>
      <c r="J39" s="26">
        <f t="shared" si="4"/>
        <v>38044</v>
      </c>
      <c r="K39" s="26" t="str">
        <f t="shared" si="3"/>
        <v>Não</v>
      </c>
      <c r="L39" s="26">
        <f t="shared" si="5"/>
        <v>38044</v>
      </c>
      <c r="M39" s="26" t="str">
        <f t="shared" ref="M39" si="43">IF(ISNA(VLOOKUP(L39,$A:$A,1,0)),"Não","Sim")</f>
        <v>Não</v>
      </c>
      <c r="N39" s="26">
        <f t="shared" si="7"/>
        <v>38044</v>
      </c>
    </row>
    <row r="40" spans="1:14" x14ac:dyDescent="0.25">
      <c r="A40" s="39">
        <v>38041</v>
      </c>
      <c r="B40" t="s">
        <v>99</v>
      </c>
      <c r="C40" t="s">
        <v>98</v>
      </c>
      <c r="E40" s="26">
        <v>38047</v>
      </c>
      <c r="F40" s="26">
        <f t="shared" si="0"/>
        <v>38077</v>
      </c>
      <c r="G40" s="19">
        <f t="shared" si="1"/>
        <v>3</v>
      </c>
      <c r="H40" s="26">
        <f t="shared" si="2"/>
        <v>38077</v>
      </c>
      <c r="I40" s="26" t="str">
        <f t="shared" si="3"/>
        <v>Não</v>
      </c>
      <c r="J40" s="26">
        <f t="shared" si="4"/>
        <v>38077</v>
      </c>
      <c r="K40" s="26" t="str">
        <f t="shared" si="3"/>
        <v>Não</v>
      </c>
      <c r="L40" s="26">
        <f t="shared" si="5"/>
        <v>38077</v>
      </c>
      <c r="M40" s="26" t="str">
        <f t="shared" ref="M40" si="44">IF(ISNA(VLOOKUP(L40,$A:$A,1,0)),"Não","Sim")</f>
        <v>Não</v>
      </c>
      <c r="N40" s="26">
        <f t="shared" si="7"/>
        <v>38077</v>
      </c>
    </row>
    <row r="41" spans="1:14" x14ac:dyDescent="0.25">
      <c r="A41" s="39">
        <v>38086</v>
      </c>
      <c r="B41" t="s">
        <v>100</v>
      </c>
      <c r="C41" t="s">
        <v>101</v>
      </c>
      <c r="E41" s="26">
        <v>38078</v>
      </c>
      <c r="F41" s="26">
        <f t="shared" si="0"/>
        <v>38107</v>
      </c>
      <c r="G41" s="19">
        <f t="shared" si="1"/>
        <v>5</v>
      </c>
      <c r="H41" s="26">
        <f t="shared" si="2"/>
        <v>38107</v>
      </c>
      <c r="I41" s="26" t="str">
        <f t="shared" si="3"/>
        <v>Não</v>
      </c>
      <c r="J41" s="26">
        <f t="shared" si="4"/>
        <v>38107</v>
      </c>
      <c r="K41" s="26" t="str">
        <f t="shared" si="3"/>
        <v>Não</v>
      </c>
      <c r="L41" s="26">
        <f t="shared" si="5"/>
        <v>38107</v>
      </c>
      <c r="M41" s="26" t="str">
        <f t="shared" ref="M41" si="45">IF(ISNA(VLOOKUP(L41,$A:$A,1,0)),"Não","Sim")</f>
        <v>Não</v>
      </c>
      <c r="N41" s="26">
        <f t="shared" si="7"/>
        <v>38107</v>
      </c>
    </row>
    <row r="42" spans="1:14" x14ac:dyDescent="0.25">
      <c r="A42" s="39">
        <v>38098</v>
      </c>
      <c r="B42" t="s">
        <v>113</v>
      </c>
      <c r="C42" t="s">
        <v>103</v>
      </c>
      <c r="E42" s="26">
        <v>38108</v>
      </c>
      <c r="F42" s="26">
        <f t="shared" si="0"/>
        <v>38138</v>
      </c>
      <c r="G42" s="19">
        <f t="shared" si="1"/>
        <v>1</v>
      </c>
      <c r="H42" s="26">
        <f t="shared" si="2"/>
        <v>38138</v>
      </c>
      <c r="I42" s="26" t="str">
        <f t="shared" si="3"/>
        <v>Não</v>
      </c>
      <c r="J42" s="26">
        <f t="shared" si="4"/>
        <v>38138</v>
      </c>
      <c r="K42" s="26" t="str">
        <f t="shared" si="3"/>
        <v>Não</v>
      </c>
      <c r="L42" s="26">
        <f t="shared" si="5"/>
        <v>38138</v>
      </c>
      <c r="M42" s="26" t="str">
        <f t="shared" ref="M42" si="46">IF(ISNA(VLOOKUP(L42,$A:$A,1,0)),"Não","Sim")</f>
        <v>Não</v>
      </c>
      <c r="N42" s="26">
        <f t="shared" si="7"/>
        <v>38138</v>
      </c>
    </row>
    <row r="43" spans="1:14" x14ac:dyDescent="0.25">
      <c r="A43" s="39">
        <v>38108</v>
      </c>
      <c r="B43" t="s">
        <v>102</v>
      </c>
      <c r="C43" t="s">
        <v>104</v>
      </c>
      <c r="E43" s="26">
        <v>38139</v>
      </c>
      <c r="F43" s="26">
        <f t="shared" si="0"/>
        <v>38168</v>
      </c>
      <c r="G43" s="19">
        <f t="shared" si="1"/>
        <v>3</v>
      </c>
      <c r="H43" s="26">
        <f t="shared" si="2"/>
        <v>38168</v>
      </c>
      <c r="I43" s="26" t="str">
        <f t="shared" si="3"/>
        <v>Não</v>
      </c>
      <c r="J43" s="26">
        <f t="shared" si="4"/>
        <v>38168</v>
      </c>
      <c r="K43" s="26" t="str">
        <f t="shared" si="3"/>
        <v>Não</v>
      </c>
      <c r="L43" s="26">
        <f t="shared" si="5"/>
        <v>38168</v>
      </c>
      <c r="M43" s="26" t="str">
        <f t="shared" ref="M43" si="47">IF(ISNA(VLOOKUP(L43,$A:$A,1,0)),"Não","Sim")</f>
        <v>Não</v>
      </c>
      <c r="N43" s="26">
        <f t="shared" si="7"/>
        <v>38168</v>
      </c>
    </row>
    <row r="44" spans="1:14" x14ac:dyDescent="0.25">
      <c r="A44" s="39">
        <v>38148</v>
      </c>
      <c r="B44" t="s">
        <v>105</v>
      </c>
      <c r="C44" t="s">
        <v>106</v>
      </c>
      <c r="E44" s="26">
        <v>38169</v>
      </c>
      <c r="F44" s="26">
        <f t="shared" si="0"/>
        <v>38199</v>
      </c>
      <c r="G44" s="19">
        <f t="shared" si="1"/>
        <v>6</v>
      </c>
      <c r="H44" s="26">
        <f t="shared" si="2"/>
        <v>38198</v>
      </c>
      <c r="I44" s="26" t="str">
        <f t="shared" si="3"/>
        <v>Não</v>
      </c>
      <c r="J44" s="26">
        <f t="shared" si="4"/>
        <v>38198</v>
      </c>
      <c r="K44" s="26" t="str">
        <f t="shared" si="3"/>
        <v>Não</v>
      </c>
      <c r="L44" s="26">
        <f t="shared" si="5"/>
        <v>38198</v>
      </c>
      <c r="M44" s="26" t="str">
        <f t="shared" ref="M44" si="48">IF(ISNA(VLOOKUP(L44,$A:$A,1,0)),"Não","Sim")</f>
        <v>Não</v>
      </c>
      <c r="N44" s="26">
        <f t="shared" si="7"/>
        <v>38198</v>
      </c>
    </row>
    <row r="45" spans="1:14" x14ac:dyDescent="0.25">
      <c r="A45" s="39">
        <v>38237</v>
      </c>
      <c r="B45" t="s">
        <v>99</v>
      </c>
      <c r="C45" t="s">
        <v>107</v>
      </c>
      <c r="E45" s="26">
        <v>38200</v>
      </c>
      <c r="F45" s="26">
        <f t="shared" si="0"/>
        <v>38230</v>
      </c>
      <c r="G45" s="19">
        <f t="shared" si="1"/>
        <v>2</v>
      </c>
      <c r="H45" s="26">
        <f t="shared" si="2"/>
        <v>38230</v>
      </c>
      <c r="I45" s="26" t="str">
        <f t="shared" si="3"/>
        <v>Não</v>
      </c>
      <c r="J45" s="26">
        <f t="shared" si="4"/>
        <v>38230</v>
      </c>
      <c r="K45" s="26" t="str">
        <f t="shared" si="3"/>
        <v>Não</v>
      </c>
      <c r="L45" s="26">
        <f t="shared" si="5"/>
        <v>38230</v>
      </c>
      <c r="M45" s="26" t="str">
        <f t="shared" ref="M45" si="49">IF(ISNA(VLOOKUP(L45,$A:$A,1,0)),"Não","Sim")</f>
        <v>Não</v>
      </c>
      <c r="N45" s="26">
        <f t="shared" si="7"/>
        <v>38230</v>
      </c>
    </row>
    <row r="46" spans="1:14" x14ac:dyDescent="0.25">
      <c r="A46" s="39">
        <v>38272</v>
      </c>
      <c r="B46" t="s">
        <v>99</v>
      </c>
      <c r="C46" t="s">
        <v>108</v>
      </c>
      <c r="E46" s="26">
        <v>38231</v>
      </c>
      <c r="F46" s="26">
        <f t="shared" si="0"/>
        <v>38260</v>
      </c>
      <c r="G46" s="19">
        <f t="shared" si="1"/>
        <v>4</v>
      </c>
      <c r="H46" s="26">
        <f t="shared" si="2"/>
        <v>38260</v>
      </c>
      <c r="I46" s="26" t="str">
        <f t="shared" si="3"/>
        <v>Não</v>
      </c>
      <c r="J46" s="26">
        <f t="shared" si="4"/>
        <v>38260</v>
      </c>
      <c r="K46" s="26" t="str">
        <f t="shared" si="3"/>
        <v>Não</v>
      </c>
      <c r="L46" s="26">
        <f t="shared" si="5"/>
        <v>38260</v>
      </c>
      <c r="M46" s="26" t="str">
        <f t="shared" ref="M46" si="50">IF(ISNA(VLOOKUP(L46,$A:$A,1,0)),"Não","Sim")</f>
        <v>Não</v>
      </c>
      <c r="N46" s="26">
        <f t="shared" si="7"/>
        <v>38260</v>
      </c>
    </row>
    <row r="47" spans="1:14" x14ac:dyDescent="0.25">
      <c r="A47" s="39">
        <v>38293</v>
      </c>
      <c r="B47" t="s">
        <v>99</v>
      </c>
      <c r="C47" t="s">
        <v>109</v>
      </c>
      <c r="E47" s="26">
        <v>38261</v>
      </c>
      <c r="F47" s="26">
        <f t="shared" si="0"/>
        <v>38291</v>
      </c>
      <c r="G47" s="19">
        <f t="shared" si="1"/>
        <v>7</v>
      </c>
      <c r="H47" s="26">
        <f t="shared" si="2"/>
        <v>38289</v>
      </c>
      <c r="I47" s="26" t="str">
        <f t="shared" si="3"/>
        <v>Não</v>
      </c>
      <c r="J47" s="26">
        <f t="shared" si="4"/>
        <v>38289</v>
      </c>
      <c r="K47" s="26" t="str">
        <f t="shared" si="3"/>
        <v>Não</v>
      </c>
      <c r="L47" s="26">
        <f t="shared" si="5"/>
        <v>38289</v>
      </c>
      <c r="M47" s="26" t="str">
        <f t="shared" ref="M47" si="51">IF(ISNA(VLOOKUP(L47,$A:$A,1,0)),"Não","Sim")</f>
        <v>Não</v>
      </c>
      <c r="N47" s="26">
        <f t="shared" si="7"/>
        <v>38289</v>
      </c>
    </row>
    <row r="48" spans="1:14" x14ac:dyDescent="0.25">
      <c r="A48" s="39">
        <v>38306</v>
      </c>
      <c r="B48" t="s">
        <v>96</v>
      </c>
      <c r="C48" t="s">
        <v>110</v>
      </c>
      <c r="E48" s="26">
        <v>38292</v>
      </c>
      <c r="F48" s="26">
        <f t="shared" si="0"/>
        <v>38321</v>
      </c>
      <c r="G48" s="19">
        <f t="shared" si="1"/>
        <v>2</v>
      </c>
      <c r="H48" s="26">
        <f t="shared" si="2"/>
        <v>38321</v>
      </c>
      <c r="I48" s="26" t="str">
        <f t="shared" si="3"/>
        <v>Não</v>
      </c>
      <c r="J48" s="26">
        <f t="shared" si="4"/>
        <v>38321</v>
      </c>
      <c r="K48" s="26" t="str">
        <f t="shared" si="3"/>
        <v>Não</v>
      </c>
      <c r="L48" s="26">
        <f t="shared" si="5"/>
        <v>38321</v>
      </c>
      <c r="M48" s="26" t="str">
        <f t="shared" ref="M48" si="52">IF(ISNA(VLOOKUP(L48,$A:$A,1,0)),"Não","Sim")</f>
        <v>Não</v>
      </c>
      <c r="N48" s="26">
        <f t="shared" si="7"/>
        <v>38321</v>
      </c>
    </row>
    <row r="49" spans="1:14" x14ac:dyDescent="0.25">
      <c r="A49" s="39">
        <v>38346</v>
      </c>
      <c r="B49" t="s">
        <v>102</v>
      </c>
      <c r="C49" t="s">
        <v>111</v>
      </c>
      <c r="E49" s="26">
        <v>38322</v>
      </c>
      <c r="F49" s="26">
        <f t="shared" si="0"/>
        <v>38352</v>
      </c>
      <c r="G49" s="19">
        <f t="shared" si="1"/>
        <v>5</v>
      </c>
      <c r="H49" s="26">
        <f t="shared" si="2"/>
        <v>38352</v>
      </c>
      <c r="I49" s="26" t="str">
        <f t="shared" si="3"/>
        <v>Não</v>
      </c>
      <c r="J49" s="26">
        <f t="shared" si="4"/>
        <v>38352</v>
      </c>
      <c r="K49" s="26" t="str">
        <f t="shared" si="3"/>
        <v>Não</v>
      </c>
      <c r="L49" s="26">
        <f t="shared" si="5"/>
        <v>38352</v>
      </c>
      <c r="M49" s="26" t="str">
        <f t="shared" ref="M49" si="53">IF(ISNA(VLOOKUP(L49,$A:$A,1,0)),"Não","Sim")</f>
        <v>Não</v>
      </c>
      <c r="N49" s="26">
        <f t="shared" si="7"/>
        <v>38352</v>
      </c>
    </row>
    <row r="50" spans="1:14" x14ac:dyDescent="0.25">
      <c r="A50" s="39">
        <v>38353</v>
      </c>
      <c r="B50" t="s">
        <v>102</v>
      </c>
      <c r="C50" t="s">
        <v>97</v>
      </c>
      <c r="E50" s="26">
        <v>38353</v>
      </c>
      <c r="F50" s="26">
        <f t="shared" si="0"/>
        <v>38383</v>
      </c>
      <c r="G50" s="19">
        <f t="shared" si="1"/>
        <v>1</v>
      </c>
      <c r="H50" s="26">
        <f t="shared" si="2"/>
        <v>38383</v>
      </c>
      <c r="I50" s="26" t="str">
        <f t="shared" si="3"/>
        <v>Não</v>
      </c>
      <c r="J50" s="26">
        <f t="shared" si="4"/>
        <v>38383</v>
      </c>
      <c r="K50" s="26" t="str">
        <f t="shared" si="3"/>
        <v>Não</v>
      </c>
      <c r="L50" s="26">
        <f t="shared" si="5"/>
        <v>38383</v>
      </c>
      <c r="M50" s="26" t="str">
        <f t="shared" ref="M50" si="54">IF(ISNA(VLOOKUP(L50,$A:$A,1,0)),"Não","Sim")</f>
        <v>Não</v>
      </c>
      <c r="N50" s="26">
        <f t="shared" si="7"/>
        <v>38383</v>
      </c>
    </row>
    <row r="51" spans="1:14" x14ac:dyDescent="0.25">
      <c r="A51" s="39">
        <v>38390</v>
      </c>
      <c r="B51" t="s">
        <v>96</v>
      </c>
      <c r="C51" t="s">
        <v>98</v>
      </c>
      <c r="E51" s="26">
        <v>38384</v>
      </c>
      <c r="F51" s="26">
        <f t="shared" si="0"/>
        <v>38411</v>
      </c>
      <c r="G51" s="19">
        <f t="shared" si="1"/>
        <v>1</v>
      </c>
      <c r="H51" s="26">
        <f t="shared" si="2"/>
        <v>38411</v>
      </c>
      <c r="I51" s="26" t="str">
        <f t="shared" si="3"/>
        <v>Não</v>
      </c>
      <c r="J51" s="26">
        <f t="shared" si="4"/>
        <v>38411</v>
      </c>
      <c r="K51" s="26" t="str">
        <f t="shared" si="3"/>
        <v>Não</v>
      </c>
      <c r="L51" s="26">
        <f t="shared" si="5"/>
        <v>38411</v>
      </c>
      <c r="M51" s="26" t="str">
        <f t="shared" ref="M51" si="55">IF(ISNA(VLOOKUP(L51,$A:$A,1,0)),"Não","Sim")</f>
        <v>Não</v>
      </c>
      <c r="N51" s="26">
        <f t="shared" si="7"/>
        <v>38411</v>
      </c>
    </row>
    <row r="52" spans="1:14" x14ac:dyDescent="0.25">
      <c r="A52" s="39">
        <v>38391</v>
      </c>
      <c r="B52" t="s">
        <v>99</v>
      </c>
      <c r="C52" t="s">
        <v>98</v>
      </c>
      <c r="E52" s="26">
        <v>38412</v>
      </c>
      <c r="F52" s="26">
        <f t="shared" si="0"/>
        <v>38442</v>
      </c>
      <c r="G52" s="19">
        <f t="shared" si="1"/>
        <v>4</v>
      </c>
      <c r="H52" s="26">
        <f t="shared" si="2"/>
        <v>38442</v>
      </c>
      <c r="I52" s="26" t="str">
        <f t="shared" si="3"/>
        <v>Não</v>
      </c>
      <c r="J52" s="26">
        <f t="shared" si="4"/>
        <v>38442</v>
      </c>
      <c r="K52" s="26" t="str">
        <f t="shared" si="3"/>
        <v>Não</v>
      </c>
      <c r="L52" s="26">
        <f t="shared" si="5"/>
        <v>38442</v>
      </c>
      <c r="M52" s="26" t="str">
        <f t="shared" ref="M52" si="56">IF(ISNA(VLOOKUP(L52,$A:$A,1,0)),"Não","Sim")</f>
        <v>Não</v>
      </c>
      <c r="N52" s="26">
        <f t="shared" si="7"/>
        <v>38442</v>
      </c>
    </row>
    <row r="53" spans="1:14" x14ac:dyDescent="0.25">
      <c r="A53" s="39">
        <v>38436</v>
      </c>
      <c r="B53" t="s">
        <v>100</v>
      </c>
      <c r="C53" t="s">
        <v>101</v>
      </c>
      <c r="E53" s="26">
        <v>38443</v>
      </c>
      <c r="F53" s="26">
        <f t="shared" si="0"/>
        <v>38472</v>
      </c>
      <c r="G53" s="19">
        <f t="shared" si="1"/>
        <v>6</v>
      </c>
      <c r="H53" s="26">
        <f t="shared" si="2"/>
        <v>38471</v>
      </c>
      <c r="I53" s="26" t="str">
        <f t="shared" si="3"/>
        <v>Não</v>
      </c>
      <c r="J53" s="26">
        <f t="shared" si="4"/>
        <v>38471</v>
      </c>
      <c r="K53" s="26" t="str">
        <f t="shared" si="3"/>
        <v>Não</v>
      </c>
      <c r="L53" s="26">
        <f t="shared" si="5"/>
        <v>38471</v>
      </c>
      <c r="M53" s="26" t="str">
        <f t="shared" ref="M53" si="57">IF(ISNA(VLOOKUP(L53,$A:$A,1,0)),"Não","Sim")</f>
        <v>Não</v>
      </c>
      <c r="N53" s="26">
        <f t="shared" si="7"/>
        <v>38471</v>
      </c>
    </row>
    <row r="54" spans="1:14" x14ac:dyDescent="0.25">
      <c r="A54" s="39">
        <v>38463</v>
      </c>
      <c r="B54" t="s">
        <v>105</v>
      </c>
      <c r="C54" t="s">
        <v>103</v>
      </c>
      <c r="E54" s="26">
        <v>38473</v>
      </c>
      <c r="F54" s="26">
        <f t="shared" si="0"/>
        <v>38503</v>
      </c>
      <c r="G54" s="19">
        <f t="shared" si="1"/>
        <v>2</v>
      </c>
      <c r="H54" s="26">
        <f t="shared" si="2"/>
        <v>38503</v>
      </c>
      <c r="I54" s="26" t="str">
        <f t="shared" si="3"/>
        <v>Não</v>
      </c>
      <c r="J54" s="26">
        <f t="shared" si="4"/>
        <v>38503</v>
      </c>
      <c r="K54" s="26" t="str">
        <f t="shared" si="3"/>
        <v>Não</v>
      </c>
      <c r="L54" s="26">
        <f t="shared" si="5"/>
        <v>38503</v>
      </c>
      <c r="M54" s="26" t="str">
        <f t="shared" ref="M54" si="58">IF(ISNA(VLOOKUP(L54,$A:$A,1,0)),"Não","Sim")</f>
        <v>Não</v>
      </c>
      <c r="N54" s="26">
        <f t="shared" si="7"/>
        <v>38503</v>
      </c>
    </row>
    <row r="55" spans="1:14" x14ac:dyDescent="0.25">
      <c r="A55" s="39">
        <v>38473</v>
      </c>
      <c r="B55" t="s">
        <v>112</v>
      </c>
      <c r="C55" t="s">
        <v>104</v>
      </c>
      <c r="E55" s="26">
        <v>38504</v>
      </c>
      <c r="F55" s="26">
        <f t="shared" si="0"/>
        <v>38533</v>
      </c>
      <c r="G55" s="19">
        <f t="shared" si="1"/>
        <v>4</v>
      </c>
      <c r="H55" s="26">
        <f t="shared" si="2"/>
        <v>38533</v>
      </c>
      <c r="I55" s="26" t="str">
        <f t="shared" si="3"/>
        <v>Não</v>
      </c>
      <c r="J55" s="26">
        <f t="shared" si="4"/>
        <v>38533</v>
      </c>
      <c r="K55" s="26" t="str">
        <f t="shared" si="3"/>
        <v>Não</v>
      </c>
      <c r="L55" s="26">
        <f t="shared" si="5"/>
        <v>38533</v>
      </c>
      <c r="M55" s="26" t="str">
        <f t="shared" ref="M55" si="59">IF(ISNA(VLOOKUP(L55,$A:$A,1,0)),"Não","Sim")</f>
        <v>Não</v>
      </c>
      <c r="N55" s="26">
        <f t="shared" si="7"/>
        <v>38533</v>
      </c>
    </row>
    <row r="56" spans="1:14" x14ac:dyDescent="0.25">
      <c r="A56" s="39">
        <v>38498</v>
      </c>
      <c r="B56" t="s">
        <v>105</v>
      </c>
      <c r="C56" t="s">
        <v>106</v>
      </c>
      <c r="E56" s="26">
        <v>38534</v>
      </c>
      <c r="F56" s="26">
        <f t="shared" si="0"/>
        <v>38564</v>
      </c>
      <c r="G56" s="19">
        <f t="shared" si="1"/>
        <v>7</v>
      </c>
      <c r="H56" s="26">
        <f t="shared" si="2"/>
        <v>38562</v>
      </c>
      <c r="I56" s="26" t="str">
        <f t="shared" si="3"/>
        <v>Não</v>
      </c>
      <c r="J56" s="26">
        <f t="shared" si="4"/>
        <v>38562</v>
      </c>
      <c r="K56" s="26" t="str">
        <f t="shared" si="3"/>
        <v>Não</v>
      </c>
      <c r="L56" s="26">
        <f t="shared" si="5"/>
        <v>38562</v>
      </c>
      <c r="M56" s="26" t="str">
        <f t="shared" ref="M56" si="60">IF(ISNA(VLOOKUP(L56,$A:$A,1,0)),"Não","Sim")</f>
        <v>Não</v>
      </c>
      <c r="N56" s="26">
        <f t="shared" si="7"/>
        <v>38562</v>
      </c>
    </row>
    <row r="57" spans="1:14" x14ac:dyDescent="0.25">
      <c r="A57" s="39">
        <v>38602</v>
      </c>
      <c r="B57" t="s">
        <v>113</v>
      </c>
      <c r="C57" t="s">
        <v>107</v>
      </c>
      <c r="E57" s="26">
        <v>38565</v>
      </c>
      <c r="F57" s="26">
        <f t="shared" si="0"/>
        <v>38595</v>
      </c>
      <c r="G57" s="19">
        <f t="shared" si="1"/>
        <v>3</v>
      </c>
      <c r="H57" s="26">
        <f t="shared" si="2"/>
        <v>38595</v>
      </c>
      <c r="I57" s="26" t="str">
        <f t="shared" si="3"/>
        <v>Não</v>
      </c>
      <c r="J57" s="26">
        <f t="shared" si="4"/>
        <v>38595</v>
      </c>
      <c r="K57" s="26" t="str">
        <f t="shared" si="3"/>
        <v>Não</v>
      </c>
      <c r="L57" s="26">
        <f t="shared" si="5"/>
        <v>38595</v>
      </c>
      <c r="M57" s="26" t="str">
        <f t="shared" ref="M57" si="61">IF(ISNA(VLOOKUP(L57,$A:$A,1,0)),"Não","Sim")</f>
        <v>Não</v>
      </c>
      <c r="N57" s="26">
        <f t="shared" si="7"/>
        <v>38595</v>
      </c>
    </row>
    <row r="58" spans="1:14" x14ac:dyDescent="0.25">
      <c r="A58" s="39">
        <v>38637</v>
      </c>
      <c r="B58" t="s">
        <v>113</v>
      </c>
      <c r="C58" t="s">
        <v>108</v>
      </c>
      <c r="E58" s="26">
        <v>38596</v>
      </c>
      <c r="F58" s="26">
        <f t="shared" si="0"/>
        <v>38625</v>
      </c>
      <c r="G58" s="19">
        <f t="shared" si="1"/>
        <v>5</v>
      </c>
      <c r="H58" s="26">
        <f t="shared" si="2"/>
        <v>38625</v>
      </c>
      <c r="I58" s="26" t="str">
        <f t="shared" si="3"/>
        <v>Não</v>
      </c>
      <c r="J58" s="26">
        <f t="shared" si="4"/>
        <v>38625</v>
      </c>
      <c r="K58" s="26" t="str">
        <f t="shared" si="3"/>
        <v>Não</v>
      </c>
      <c r="L58" s="26">
        <f t="shared" si="5"/>
        <v>38625</v>
      </c>
      <c r="M58" s="26" t="str">
        <f t="shared" ref="M58" si="62">IF(ISNA(VLOOKUP(L58,$A:$A,1,0)),"Não","Sim")</f>
        <v>Não</v>
      </c>
      <c r="N58" s="26">
        <f t="shared" si="7"/>
        <v>38625</v>
      </c>
    </row>
    <row r="59" spans="1:14" x14ac:dyDescent="0.25">
      <c r="A59" s="39">
        <v>38658</v>
      </c>
      <c r="B59" t="s">
        <v>113</v>
      </c>
      <c r="C59" t="s">
        <v>109</v>
      </c>
      <c r="E59" s="26">
        <v>38626</v>
      </c>
      <c r="F59" s="26">
        <f t="shared" si="0"/>
        <v>38656</v>
      </c>
      <c r="G59" s="19">
        <f t="shared" si="1"/>
        <v>1</v>
      </c>
      <c r="H59" s="26">
        <f t="shared" si="2"/>
        <v>38656</v>
      </c>
      <c r="I59" s="26" t="str">
        <f t="shared" si="3"/>
        <v>Não</v>
      </c>
      <c r="J59" s="26">
        <f t="shared" si="4"/>
        <v>38656</v>
      </c>
      <c r="K59" s="26" t="str">
        <f t="shared" si="3"/>
        <v>Não</v>
      </c>
      <c r="L59" s="26">
        <f t="shared" si="5"/>
        <v>38656</v>
      </c>
      <c r="M59" s="26" t="str">
        <f t="shared" ref="M59" si="63">IF(ISNA(VLOOKUP(L59,$A:$A,1,0)),"Não","Sim")</f>
        <v>Não</v>
      </c>
      <c r="N59" s="26">
        <f t="shared" si="7"/>
        <v>38656</v>
      </c>
    </row>
    <row r="60" spans="1:14" x14ac:dyDescent="0.25">
      <c r="A60" s="39">
        <v>38671</v>
      </c>
      <c r="B60" t="s">
        <v>99</v>
      </c>
      <c r="C60" t="s">
        <v>110</v>
      </c>
      <c r="E60" s="26">
        <v>38657</v>
      </c>
      <c r="F60" s="26">
        <f t="shared" si="0"/>
        <v>38686</v>
      </c>
      <c r="G60" s="19">
        <f t="shared" si="1"/>
        <v>3</v>
      </c>
      <c r="H60" s="26">
        <f t="shared" si="2"/>
        <v>38686</v>
      </c>
      <c r="I60" s="26" t="str">
        <f t="shared" si="3"/>
        <v>Não</v>
      </c>
      <c r="J60" s="26">
        <f t="shared" si="4"/>
        <v>38686</v>
      </c>
      <c r="K60" s="26" t="str">
        <f t="shared" si="3"/>
        <v>Não</v>
      </c>
      <c r="L60" s="26">
        <f t="shared" si="5"/>
        <v>38686</v>
      </c>
      <c r="M60" s="26" t="str">
        <f t="shared" ref="M60" si="64">IF(ISNA(VLOOKUP(L60,$A:$A,1,0)),"Não","Sim")</f>
        <v>Não</v>
      </c>
      <c r="N60" s="26">
        <f t="shared" si="7"/>
        <v>38686</v>
      </c>
    </row>
    <row r="61" spans="1:14" x14ac:dyDescent="0.25">
      <c r="A61" s="39">
        <v>38711</v>
      </c>
      <c r="B61" t="s">
        <v>112</v>
      </c>
      <c r="C61" t="s">
        <v>111</v>
      </c>
      <c r="E61" s="26">
        <v>38687</v>
      </c>
      <c r="F61" s="26">
        <f t="shared" si="0"/>
        <v>38717</v>
      </c>
      <c r="G61" s="19">
        <f t="shared" si="1"/>
        <v>6</v>
      </c>
      <c r="H61" s="26">
        <f t="shared" si="2"/>
        <v>38716</v>
      </c>
      <c r="I61" s="26" t="str">
        <f t="shared" si="3"/>
        <v>Não</v>
      </c>
      <c r="J61" s="26">
        <f t="shared" si="4"/>
        <v>38716</v>
      </c>
      <c r="K61" s="26" t="str">
        <f t="shared" si="3"/>
        <v>Não</v>
      </c>
      <c r="L61" s="26">
        <f t="shared" si="5"/>
        <v>38716</v>
      </c>
      <c r="M61" s="26" t="str">
        <f t="shared" ref="M61" si="65">IF(ISNA(VLOOKUP(L61,$A:$A,1,0)),"Não","Sim")</f>
        <v>Não</v>
      </c>
      <c r="N61" s="26">
        <f t="shared" si="7"/>
        <v>38716</v>
      </c>
    </row>
    <row r="62" spans="1:14" x14ac:dyDescent="0.25">
      <c r="A62" s="39">
        <v>38718</v>
      </c>
      <c r="B62" t="s">
        <v>112</v>
      </c>
      <c r="C62" t="s">
        <v>97</v>
      </c>
      <c r="E62" s="26">
        <v>38718</v>
      </c>
      <c r="F62" s="26">
        <f t="shared" si="0"/>
        <v>38748</v>
      </c>
      <c r="G62" s="19">
        <f t="shared" si="1"/>
        <v>2</v>
      </c>
      <c r="H62" s="26">
        <f t="shared" si="2"/>
        <v>38748</v>
      </c>
      <c r="I62" s="26" t="str">
        <f t="shared" si="3"/>
        <v>Não</v>
      </c>
      <c r="J62" s="26">
        <f t="shared" si="4"/>
        <v>38748</v>
      </c>
      <c r="K62" s="26" t="str">
        <f t="shared" si="3"/>
        <v>Não</v>
      </c>
      <c r="L62" s="26">
        <f t="shared" si="5"/>
        <v>38748</v>
      </c>
      <c r="M62" s="26" t="str">
        <f t="shared" ref="M62" si="66">IF(ISNA(VLOOKUP(L62,$A:$A,1,0)),"Não","Sim")</f>
        <v>Não</v>
      </c>
      <c r="N62" s="26">
        <f t="shared" si="7"/>
        <v>38748</v>
      </c>
    </row>
    <row r="63" spans="1:14" x14ac:dyDescent="0.25">
      <c r="A63" s="39">
        <v>38775</v>
      </c>
      <c r="B63" t="s">
        <v>96</v>
      </c>
      <c r="C63" t="s">
        <v>98</v>
      </c>
      <c r="E63" s="26">
        <v>38749</v>
      </c>
      <c r="F63" s="26">
        <f t="shared" si="0"/>
        <v>38776</v>
      </c>
      <c r="G63" s="19">
        <f t="shared" si="1"/>
        <v>2</v>
      </c>
      <c r="H63" s="26">
        <f t="shared" si="2"/>
        <v>38776</v>
      </c>
      <c r="I63" s="26" t="str">
        <f t="shared" si="3"/>
        <v>Sim</v>
      </c>
      <c r="J63" s="26">
        <f t="shared" si="4"/>
        <v>38775</v>
      </c>
      <c r="K63" s="26" t="str">
        <f t="shared" si="3"/>
        <v>Sim</v>
      </c>
      <c r="L63" s="26">
        <f t="shared" si="5"/>
        <v>38774</v>
      </c>
      <c r="M63" s="26" t="str">
        <f t="shared" ref="M63" si="67">IF(ISNA(VLOOKUP(L63,$A:$A,1,0)),"Não","Sim")</f>
        <v>Não</v>
      </c>
      <c r="N63" s="26">
        <f t="shared" si="7"/>
        <v>38774</v>
      </c>
    </row>
    <row r="64" spans="1:14" x14ac:dyDescent="0.25">
      <c r="A64" s="39">
        <v>38776</v>
      </c>
      <c r="B64" t="s">
        <v>99</v>
      </c>
      <c r="C64" t="s">
        <v>98</v>
      </c>
      <c r="E64" s="26">
        <v>38777</v>
      </c>
      <c r="F64" s="26">
        <f t="shared" si="0"/>
        <v>38807</v>
      </c>
      <c r="G64" s="19">
        <f t="shared" si="1"/>
        <v>5</v>
      </c>
      <c r="H64" s="26">
        <f t="shared" si="2"/>
        <v>38807</v>
      </c>
      <c r="I64" s="26" t="str">
        <f t="shared" si="3"/>
        <v>Não</v>
      </c>
      <c r="J64" s="26">
        <f t="shared" si="4"/>
        <v>38807</v>
      </c>
      <c r="K64" s="26" t="str">
        <f t="shared" si="3"/>
        <v>Não</v>
      </c>
      <c r="L64" s="26">
        <f t="shared" si="5"/>
        <v>38807</v>
      </c>
      <c r="M64" s="26" t="str">
        <f t="shared" ref="M64" si="68">IF(ISNA(VLOOKUP(L64,$A:$A,1,0)),"Não","Sim")</f>
        <v>Não</v>
      </c>
      <c r="N64" s="26">
        <f t="shared" si="7"/>
        <v>38807</v>
      </c>
    </row>
    <row r="65" spans="1:14" x14ac:dyDescent="0.25">
      <c r="A65" s="39">
        <v>38821</v>
      </c>
      <c r="B65" t="s">
        <v>100</v>
      </c>
      <c r="C65" t="s">
        <v>101</v>
      </c>
      <c r="E65" s="26">
        <v>38808</v>
      </c>
      <c r="F65" s="26">
        <f t="shared" si="0"/>
        <v>38837</v>
      </c>
      <c r="G65" s="19">
        <f t="shared" si="1"/>
        <v>7</v>
      </c>
      <c r="H65" s="26">
        <f t="shared" si="2"/>
        <v>38835</v>
      </c>
      <c r="I65" s="26" t="str">
        <f t="shared" si="3"/>
        <v>Não</v>
      </c>
      <c r="J65" s="26">
        <f t="shared" si="4"/>
        <v>38835</v>
      </c>
      <c r="K65" s="26" t="str">
        <f t="shared" si="3"/>
        <v>Não</v>
      </c>
      <c r="L65" s="26">
        <f t="shared" si="5"/>
        <v>38835</v>
      </c>
      <c r="M65" s="26" t="str">
        <f t="shared" ref="M65" si="69">IF(ISNA(VLOOKUP(L65,$A:$A,1,0)),"Não","Sim")</f>
        <v>Não</v>
      </c>
      <c r="N65" s="26">
        <f t="shared" si="7"/>
        <v>38835</v>
      </c>
    </row>
    <row r="66" spans="1:14" x14ac:dyDescent="0.25">
      <c r="A66" s="39">
        <v>38828</v>
      </c>
      <c r="B66" t="s">
        <v>100</v>
      </c>
      <c r="C66" t="s">
        <v>103</v>
      </c>
      <c r="E66" s="26">
        <v>38838</v>
      </c>
      <c r="F66" s="26">
        <f t="shared" si="0"/>
        <v>38868</v>
      </c>
      <c r="G66" s="19">
        <f t="shared" si="1"/>
        <v>3</v>
      </c>
      <c r="H66" s="26">
        <f t="shared" si="2"/>
        <v>38868</v>
      </c>
      <c r="I66" s="26" t="str">
        <f t="shared" si="3"/>
        <v>Não</v>
      </c>
      <c r="J66" s="26">
        <f t="shared" si="4"/>
        <v>38868</v>
      </c>
      <c r="K66" s="26" t="str">
        <f t="shared" si="3"/>
        <v>Não</v>
      </c>
      <c r="L66" s="26">
        <f t="shared" si="5"/>
        <v>38868</v>
      </c>
      <c r="M66" s="26" t="str">
        <f t="shared" ref="M66" si="70">IF(ISNA(VLOOKUP(L66,$A:$A,1,0)),"Não","Sim")</f>
        <v>Não</v>
      </c>
      <c r="N66" s="26">
        <f t="shared" si="7"/>
        <v>38868</v>
      </c>
    </row>
    <row r="67" spans="1:14" x14ac:dyDescent="0.25">
      <c r="A67" s="39">
        <v>38838</v>
      </c>
      <c r="B67" t="s">
        <v>96</v>
      </c>
      <c r="C67" t="s">
        <v>104</v>
      </c>
      <c r="E67" s="26">
        <v>38869</v>
      </c>
      <c r="F67" s="26">
        <f t="shared" ref="F67:F130" si="71">EOMONTH(E67,0)</f>
        <v>38898</v>
      </c>
      <c r="G67" s="19">
        <f t="shared" ref="G67:G130" si="72">WEEKDAY(F67,2)</f>
        <v>5</v>
      </c>
      <c r="H67" s="26">
        <f t="shared" ref="H67:H130" si="73">IF(G67=6,F67-1,IF(G67=7,F67-2,F67))</f>
        <v>38898</v>
      </c>
      <c r="I67" s="26" t="str">
        <f t="shared" ref="I67:K130" si="74">IF(ISNA(VLOOKUP(H67,$A:$A,1,0)),"Não","Sim")</f>
        <v>Não</v>
      </c>
      <c r="J67" s="26">
        <f t="shared" ref="J67:J130" si="75">IF(I67="Não",H67,H67-1)</f>
        <v>38898</v>
      </c>
      <c r="K67" s="26" t="str">
        <f t="shared" si="74"/>
        <v>Não</v>
      </c>
      <c r="L67" s="26">
        <f t="shared" ref="L67:L130" si="76">IF(K67="Não",J67,J67-1)</f>
        <v>38898</v>
      </c>
      <c r="M67" s="26" t="str">
        <f t="shared" ref="M67" si="77">IF(ISNA(VLOOKUP(L67,$A:$A,1,0)),"Não","Sim")</f>
        <v>Não</v>
      </c>
      <c r="N67" s="26">
        <f t="shared" ref="N67:N130" si="78">IF(M67="Não",L67,L67-1)</f>
        <v>38898</v>
      </c>
    </row>
    <row r="68" spans="1:14" x14ac:dyDescent="0.25">
      <c r="A68" s="39">
        <v>38883</v>
      </c>
      <c r="B68" t="s">
        <v>105</v>
      </c>
      <c r="C68" t="s">
        <v>106</v>
      </c>
      <c r="E68" s="26">
        <v>38899</v>
      </c>
      <c r="F68" s="26">
        <f t="shared" si="71"/>
        <v>38929</v>
      </c>
      <c r="G68" s="19">
        <f t="shared" si="72"/>
        <v>1</v>
      </c>
      <c r="H68" s="26">
        <f t="shared" si="73"/>
        <v>38929</v>
      </c>
      <c r="I68" s="26" t="str">
        <f t="shared" si="74"/>
        <v>Não</v>
      </c>
      <c r="J68" s="26">
        <f t="shared" si="75"/>
        <v>38929</v>
      </c>
      <c r="K68" s="26" t="str">
        <f t="shared" si="74"/>
        <v>Não</v>
      </c>
      <c r="L68" s="26">
        <f t="shared" si="76"/>
        <v>38929</v>
      </c>
      <c r="M68" s="26" t="str">
        <f t="shared" ref="M68" si="79">IF(ISNA(VLOOKUP(L68,$A:$A,1,0)),"Não","Sim")</f>
        <v>Não</v>
      </c>
      <c r="N68" s="26">
        <f t="shared" si="78"/>
        <v>38929</v>
      </c>
    </row>
    <row r="69" spans="1:14" x14ac:dyDescent="0.25">
      <c r="A69" s="39">
        <v>38967</v>
      </c>
      <c r="B69" t="s">
        <v>105</v>
      </c>
      <c r="C69" t="s">
        <v>107</v>
      </c>
      <c r="E69" s="26">
        <v>38930</v>
      </c>
      <c r="F69" s="26">
        <f t="shared" si="71"/>
        <v>38960</v>
      </c>
      <c r="G69" s="19">
        <f t="shared" si="72"/>
        <v>4</v>
      </c>
      <c r="H69" s="26">
        <f t="shared" si="73"/>
        <v>38960</v>
      </c>
      <c r="I69" s="26" t="str">
        <f t="shared" si="74"/>
        <v>Não</v>
      </c>
      <c r="J69" s="26">
        <f t="shared" si="75"/>
        <v>38960</v>
      </c>
      <c r="K69" s="26" t="str">
        <f t="shared" si="74"/>
        <v>Não</v>
      </c>
      <c r="L69" s="26">
        <f t="shared" si="76"/>
        <v>38960</v>
      </c>
      <c r="M69" s="26" t="str">
        <f t="shared" ref="M69" si="80">IF(ISNA(VLOOKUP(L69,$A:$A,1,0)),"Não","Sim")</f>
        <v>Não</v>
      </c>
      <c r="N69" s="26">
        <f t="shared" si="78"/>
        <v>38960</v>
      </c>
    </row>
    <row r="70" spans="1:14" x14ac:dyDescent="0.25">
      <c r="A70" s="39">
        <v>39002</v>
      </c>
      <c r="B70" t="s">
        <v>105</v>
      </c>
      <c r="C70" t="s">
        <v>108</v>
      </c>
      <c r="E70" s="26">
        <v>38961</v>
      </c>
      <c r="F70" s="26">
        <f t="shared" si="71"/>
        <v>38990</v>
      </c>
      <c r="G70" s="19">
        <f t="shared" si="72"/>
        <v>6</v>
      </c>
      <c r="H70" s="26">
        <f t="shared" si="73"/>
        <v>38989</v>
      </c>
      <c r="I70" s="26" t="str">
        <f t="shared" si="74"/>
        <v>Não</v>
      </c>
      <c r="J70" s="26">
        <f t="shared" si="75"/>
        <v>38989</v>
      </c>
      <c r="K70" s="26" t="str">
        <f t="shared" si="74"/>
        <v>Não</v>
      </c>
      <c r="L70" s="26">
        <f t="shared" si="76"/>
        <v>38989</v>
      </c>
      <c r="M70" s="26" t="str">
        <f t="shared" ref="M70" si="81">IF(ISNA(VLOOKUP(L70,$A:$A,1,0)),"Não","Sim")</f>
        <v>Não</v>
      </c>
      <c r="N70" s="26">
        <f t="shared" si="78"/>
        <v>38989</v>
      </c>
    </row>
    <row r="71" spans="1:14" x14ac:dyDescent="0.25">
      <c r="A71" s="39">
        <v>39023</v>
      </c>
      <c r="B71" t="s">
        <v>105</v>
      </c>
      <c r="C71" t="s">
        <v>109</v>
      </c>
      <c r="E71" s="26">
        <v>38991</v>
      </c>
      <c r="F71" s="26">
        <f t="shared" si="71"/>
        <v>39021</v>
      </c>
      <c r="G71" s="19">
        <f t="shared" si="72"/>
        <v>2</v>
      </c>
      <c r="H71" s="26">
        <f t="shared" si="73"/>
        <v>39021</v>
      </c>
      <c r="I71" s="26" t="str">
        <f t="shared" si="74"/>
        <v>Não</v>
      </c>
      <c r="J71" s="26">
        <f t="shared" si="75"/>
        <v>39021</v>
      </c>
      <c r="K71" s="26" t="str">
        <f t="shared" si="74"/>
        <v>Não</v>
      </c>
      <c r="L71" s="26">
        <f t="shared" si="76"/>
        <v>39021</v>
      </c>
      <c r="M71" s="26" t="str">
        <f t="shared" ref="M71" si="82">IF(ISNA(VLOOKUP(L71,$A:$A,1,0)),"Não","Sim")</f>
        <v>Não</v>
      </c>
      <c r="N71" s="26">
        <f t="shared" si="78"/>
        <v>39021</v>
      </c>
    </row>
    <row r="72" spans="1:14" x14ac:dyDescent="0.25">
      <c r="A72" s="39">
        <v>39036</v>
      </c>
      <c r="B72" t="s">
        <v>113</v>
      </c>
      <c r="C72" t="s">
        <v>110</v>
      </c>
      <c r="E72" s="26">
        <v>39022</v>
      </c>
      <c r="F72" s="26">
        <f t="shared" si="71"/>
        <v>39051</v>
      </c>
      <c r="G72" s="19">
        <f t="shared" si="72"/>
        <v>4</v>
      </c>
      <c r="H72" s="26">
        <f t="shared" si="73"/>
        <v>39051</v>
      </c>
      <c r="I72" s="26" t="str">
        <f t="shared" si="74"/>
        <v>Não</v>
      </c>
      <c r="J72" s="26">
        <f t="shared" si="75"/>
        <v>39051</v>
      </c>
      <c r="K72" s="26" t="str">
        <f t="shared" si="74"/>
        <v>Não</v>
      </c>
      <c r="L72" s="26">
        <f t="shared" si="76"/>
        <v>39051</v>
      </c>
      <c r="M72" s="26" t="str">
        <f t="shared" ref="M72" si="83">IF(ISNA(VLOOKUP(L72,$A:$A,1,0)),"Não","Sim")</f>
        <v>Não</v>
      </c>
      <c r="N72" s="26">
        <f t="shared" si="78"/>
        <v>39051</v>
      </c>
    </row>
    <row r="73" spans="1:14" x14ac:dyDescent="0.25">
      <c r="A73" s="39">
        <v>39076</v>
      </c>
      <c r="B73" t="s">
        <v>96</v>
      </c>
      <c r="C73" t="s">
        <v>111</v>
      </c>
      <c r="E73" s="26">
        <v>39052</v>
      </c>
      <c r="F73" s="26">
        <f t="shared" si="71"/>
        <v>39082</v>
      </c>
      <c r="G73" s="19">
        <f t="shared" si="72"/>
        <v>7</v>
      </c>
      <c r="H73" s="26">
        <f t="shared" si="73"/>
        <v>39080</v>
      </c>
      <c r="I73" s="26" t="str">
        <f t="shared" si="74"/>
        <v>Não</v>
      </c>
      <c r="J73" s="26">
        <f t="shared" si="75"/>
        <v>39080</v>
      </c>
      <c r="K73" s="26" t="str">
        <f t="shared" si="74"/>
        <v>Não</v>
      </c>
      <c r="L73" s="26">
        <f t="shared" si="76"/>
        <v>39080</v>
      </c>
      <c r="M73" s="26" t="str">
        <f t="shared" ref="M73" si="84">IF(ISNA(VLOOKUP(L73,$A:$A,1,0)),"Não","Sim")</f>
        <v>Não</v>
      </c>
      <c r="N73" s="26">
        <f t="shared" si="78"/>
        <v>39080</v>
      </c>
    </row>
    <row r="74" spans="1:14" x14ac:dyDescent="0.25">
      <c r="A74" s="39">
        <v>39083</v>
      </c>
      <c r="B74" t="s">
        <v>96</v>
      </c>
      <c r="C74" t="s">
        <v>97</v>
      </c>
      <c r="E74" s="26">
        <v>39083</v>
      </c>
      <c r="F74" s="26">
        <f t="shared" si="71"/>
        <v>39113</v>
      </c>
      <c r="G74" s="19">
        <f t="shared" si="72"/>
        <v>3</v>
      </c>
      <c r="H74" s="26">
        <f t="shared" si="73"/>
        <v>39113</v>
      </c>
      <c r="I74" s="26" t="str">
        <f t="shared" si="74"/>
        <v>Não</v>
      </c>
      <c r="J74" s="26">
        <f t="shared" si="75"/>
        <v>39113</v>
      </c>
      <c r="K74" s="26" t="str">
        <f t="shared" si="74"/>
        <v>Não</v>
      </c>
      <c r="L74" s="26">
        <f t="shared" si="76"/>
        <v>39113</v>
      </c>
      <c r="M74" s="26" t="str">
        <f t="shared" ref="M74" si="85">IF(ISNA(VLOOKUP(L74,$A:$A,1,0)),"Não","Sim")</f>
        <v>Não</v>
      </c>
      <c r="N74" s="26">
        <f t="shared" si="78"/>
        <v>39113</v>
      </c>
    </row>
    <row r="75" spans="1:14" x14ac:dyDescent="0.25">
      <c r="A75" s="39">
        <v>39132</v>
      </c>
      <c r="B75" t="s">
        <v>96</v>
      </c>
      <c r="C75" t="s">
        <v>98</v>
      </c>
      <c r="E75" s="26">
        <v>39114</v>
      </c>
      <c r="F75" s="26">
        <f t="shared" si="71"/>
        <v>39141</v>
      </c>
      <c r="G75" s="19">
        <f t="shared" si="72"/>
        <v>3</v>
      </c>
      <c r="H75" s="26">
        <f t="shared" si="73"/>
        <v>39141</v>
      </c>
      <c r="I75" s="26" t="str">
        <f t="shared" si="74"/>
        <v>Não</v>
      </c>
      <c r="J75" s="26">
        <f t="shared" si="75"/>
        <v>39141</v>
      </c>
      <c r="K75" s="26" t="str">
        <f t="shared" si="74"/>
        <v>Não</v>
      </c>
      <c r="L75" s="26">
        <f t="shared" si="76"/>
        <v>39141</v>
      </c>
      <c r="M75" s="26" t="str">
        <f t="shared" ref="M75" si="86">IF(ISNA(VLOOKUP(L75,$A:$A,1,0)),"Não","Sim")</f>
        <v>Não</v>
      </c>
      <c r="N75" s="26">
        <f t="shared" si="78"/>
        <v>39141</v>
      </c>
    </row>
    <row r="76" spans="1:14" x14ac:dyDescent="0.25">
      <c r="A76" s="39">
        <v>39133</v>
      </c>
      <c r="B76" t="s">
        <v>99</v>
      </c>
      <c r="C76" t="s">
        <v>98</v>
      </c>
      <c r="E76" s="26">
        <v>39142</v>
      </c>
      <c r="F76" s="26">
        <f t="shared" si="71"/>
        <v>39172</v>
      </c>
      <c r="G76" s="19">
        <f t="shared" si="72"/>
        <v>6</v>
      </c>
      <c r="H76" s="26">
        <f t="shared" si="73"/>
        <v>39171</v>
      </c>
      <c r="I76" s="26" t="str">
        <f t="shared" si="74"/>
        <v>Não</v>
      </c>
      <c r="J76" s="26">
        <f t="shared" si="75"/>
        <v>39171</v>
      </c>
      <c r="K76" s="26" t="str">
        <f t="shared" si="74"/>
        <v>Não</v>
      </c>
      <c r="L76" s="26">
        <f t="shared" si="76"/>
        <v>39171</v>
      </c>
      <c r="M76" s="26" t="str">
        <f t="shared" ref="M76" si="87">IF(ISNA(VLOOKUP(L76,$A:$A,1,0)),"Não","Sim")</f>
        <v>Não</v>
      </c>
      <c r="N76" s="26">
        <f t="shared" si="78"/>
        <v>39171</v>
      </c>
    </row>
    <row r="77" spans="1:14" x14ac:dyDescent="0.25">
      <c r="A77" s="39">
        <v>39178</v>
      </c>
      <c r="B77" t="s">
        <v>100</v>
      </c>
      <c r="C77" t="s">
        <v>101</v>
      </c>
      <c r="E77" s="26">
        <v>39173</v>
      </c>
      <c r="F77" s="26">
        <f t="shared" si="71"/>
        <v>39202</v>
      </c>
      <c r="G77" s="19">
        <f t="shared" si="72"/>
        <v>1</v>
      </c>
      <c r="H77" s="26">
        <f t="shared" si="73"/>
        <v>39202</v>
      </c>
      <c r="I77" s="26" t="str">
        <f t="shared" si="74"/>
        <v>Não</v>
      </c>
      <c r="J77" s="26">
        <f t="shared" si="75"/>
        <v>39202</v>
      </c>
      <c r="K77" s="26" t="str">
        <f t="shared" si="74"/>
        <v>Não</v>
      </c>
      <c r="L77" s="26">
        <f t="shared" si="76"/>
        <v>39202</v>
      </c>
      <c r="M77" s="26" t="str">
        <f t="shared" ref="M77" si="88">IF(ISNA(VLOOKUP(L77,$A:$A,1,0)),"Não","Sim")</f>
        <v>Não</v>
      </c>
      <c r="N77" s="26">
        <f t="shared" si="78"/>
        <v>39202</v>
      </c>
    </row>
    <row r="78" spans="1:14" x14ac:dyDescent="0.25">
      <c r="A78" s="39">
        <v>39193</v>
      </c>
      <c r="B78" t="s">
        <v>102</v>
      </c>
      <c r="C78" t="s">
        <v>103</v>
      </c>
      <c r="E78" s="26">
        <v>39203</v>
      </c>
      <c r="F78" s="26">
        <f t="shared" si="71"/>
        <v>39233</v>
      </c>
      <c r="G78" s="19">
        <f t="shared" si="72"/>
        <v>4</v>
      </c>
      <c r="H78" s="26">
        <f t="shared" si="73"/>
        <v>39233</v>
      </c>
      <c r="I78" s="26" t="str">
        <f t="shared" si="74"/>
        <v>Não</v>
      </c>
      <c r="J78" s="26">
        <f t="shared" si="75"/>
        <v>39233</v>
      </c>
      <c r="K78" s="26" t="str">
        <f t="shared" si="74"/>
        <v>Não</v>
      </c>
      <c r="L78" s="26">
        <f t="shared" si="76"/>
        <v>39233</v>
      </c>
      <c r="M78" s="26" t="str">
        <f t="shared" ref="M78" si="89">IF(ISNA(VLOOKUP(L78,$A:$A,1,0)),"Não","Sim")</f>
        <v>Não</v>
      </c>
      <c r="N78" s="26">
        <f t="shared" si="78"/>
        <v>39233</v>
      </c>
    </row>
    <row r="79" spans="1:14" x14ac:dyDescent="0.25">
      <c r="A79" s="39">
        <v>39203</v>
      </c>
      <c r="B79" t="s">
        <v>99</v>
      </c>
      <c r="C79" t="s">
        <v>104</v>
      </c>
      <c r="E79" s="26">
        <v>39234</v>
      </c>
      <c r="F79" s="26">
        <f t="shared" si="71"/>
        <v>39263</v>
      </c>
      <c r="G79" s="19">
        <f t="shared" si="72"/>
        <v>6</v>
      </c>
      <c r="H79" s="26">
        <f t="shared" si="73"/>
        <v>39262</v>
      </c>
      <c r="I79" s="26" t="str">
        <f t="shared" si="74"/>
        <v>Não</v>
      </c>
      <c r="J79" s="26">
        <f t="shared" si="75"/>
        <v>39262</v>
      </c>
      <c r="K79" s="26" t="str">
        <f t="shared" si="74"/>
        <v>Não</v>
      </c>
      <c r="L79" s="26">
        <f t="shared" si="76"/>
        <v>39262</v>
      </c>
      <c r="M79" s="26" t="str">
        <f t="shared" ref="M79" si="90">IF(ISNA(VLOOKUP(L79,$A:$A,1,0)),"Não","Sim")</f>
        <v>Não</v>
      </c>
      <c r="N79" s="26">
        <f t="shared" si="78"/>
        <v>39262</v>
      </c>
    </row>
    <row r="80" spans="1:14" x14ac:dyDescent="0.25">
      <c r="A80" s="39">
        <v>39240</v>
      </c>
      <c r="B80" t="s">
        <v>105</v>
      </c>
      <c r="C80" t="s">
        <v>106</v>
      </c>
      <c r="E80" s="26">
        <v>39264</v>
      </c>
      <c r="F80" s="26">
        <f t="shared" si="71"/>
        <v>39294</v>
      </c>
      <c r="G80" s="19">
        <f t="shared" si="72"/>
        <v>2</v>
      </c>
      <c r="H80" s="26">
        <f t="shared" si="73"/>
        <v>39294</v>
      </c>
      <c r="I80" s="26" t="str">
        <f t="shared" si="74"/>
        <v>Não</v>
      </c>
      <c r="J80" s="26">
        <f t="shared" si="75"/>
        <v>39294</v>
      </c>
      <c r="K80" s="26" t="str">
        <f t="shared" si="74"/>
        <v>Não</v>
      </c>
      <c r="L80" s="26">
        <f t="shared" si="76"/>
        <v>39294</v>
      </c>
      <c r="M80" s="26" t="str">
        <f t="shared" ref="M80" si="91">IF(ISNA(VLOOKUP(L80,$A:$A,1,0)),"Não","Sim")</f>
        <v>Não</v>
      </c>
      <c r="N80" s="26">
        <f t="shared" si="78"/>
        <v>39294</v>
      </c>
    </row>
    <row r="81" spans="1:14" x14ac:dyDescent="0.25">
      <c r="A81" s="39">
        <v>39332</v>
      </c>
      <c r="B81" t="s">
        <v>100</v>
      </c>
      <c r="C81" t="s">
        <v>107</v>
      </c>
      <c r="E81" s="26">
        <v>39295</v>
      </c>
      <c r="F81" s="26">
        <f t="shared" si="71"/>
        <v>39325</v>
      </c>
      <c r="G81" s="19">
        <f t="shared" si="72"/>
        <v>5</v>
      </c>
      <c r="H81" s="26">
        <f t="shared" si="73"/>
        <v>39325</v>
      </c>
      <c r="I81" s="26" t="str">
        <f t="shared" si="74"/>
        <v>Não</v>
      </c>
      <c r="J81" s="26">
        <f t="shared" si="75"/>
        <v>39325</v>
      </c>
      <c r="K81" s="26" t="str">
        <f t="shared" si="74"/>
        <v>Não</v>
      </c>
      <c r="L81" s="26">
        <f t="shared" si="76"/>
        <v>39325</v>
      </c>
      <c r="M81" s="26" t="str">
        <f t="shared" ref="M81" si="92">IF(ISNA(VLOOKUP(L81,$A:$A,1,0)),"Não","Sim")</f>
        <v>Não</v>
      </c>
      <c r="N81" s="26">
        <f t="shared" si="78"/>
        <v>39325</v>
      </c>
    </row>
    <row r="82" spans="1:14" x14ac:dyDescent="0.25">
      <c r="A82" s="39">
        <v>39367</v>
      </c>
      <c r="B82" t="s">
        <v>100</v>
      </c>
      <c r="C82" t="s">
        <v>108</v>
      </c>
      <c r="E82" s="26">
        <v>39326</v>
      </c>
      <c r="F82" s="26">
        <f t="shared" si="71"/>
        <v>39355</v>
      </c>
      <c r="G82" s="19">
        <f t="shared" si="72"/>
        <v>7</v>
      </c>
      <c r="H82" s="26">
        <f t="shared" si="73"/>
        <v>39353</v>
      </c>
      <c r="I82" s="26" t="str">
        <f t="shared" si="74"/>
        <v>Não</v>
      </c>
      <c r="J82" s="26">
        <f t="shared" si="75"/>
        <v>39353</v>
      </c>
      <c r="K82" s="26" t="str">
        <f t="shared" si="74"/>
        <v>Não</v>
      </c>
      <c r="L82" s="26">
        <f t="shared" si="76"/>
        <v>39353</v>
      </c>
      <c r="M82" s="26" t="str">
        <f t="shared" ref="M82" si="93">IF(ISNA(VLOOKUP(L82,$A:$A,1,0)),"Não","Sim")</f>
        <v>Não</v>
      </c>
      <c r="N82" s="26">
        <f t="shared" si="78"/>
        <v>39353</v>
      </c>
    </row>
    <row r="83" spans="1:14" x14ac:dyDescent="0.25">
      <c r="A83" s="39">
        <v>39388</v>
      </c>
      <c r="B83" t="s">
        <v>100</v>
      </c>
      <c r="C83" t="s">
        <v>109</v>
      </c>
      <c r="E83" s="26">
        <v>39356</v>
      </c>
      <c r="F83" s="26">
        <f t="shared" si="71"/>
        <v>39386</v>
      </c>
      <c r="G83" s="19">
        <f t="shared" si="72"/>
        <v>3</v>
      </c>
      <c r="H83" s="26">
        <f t="shared" si="73"/>
        <v>39386</v>
      </c>
      <c r="I83" s="26" t="str">
        <f t="shared" si="74"/>
        <v>Não</v>
      </c>
      <c r="J83" s="26">
        <f t="shared" si="75"/>
        <v>39386</v>
      </c>
      <c r="K83" s="26" t="str">
        <f t="shared" si="74"/>
        <v>Não</v>
      </c>
      <c r="L83" s="26">
        <f t="shared" si="76"/>
        <v>39386</v>
      </c>
      <c r="M83" s="26" t="str">
        <f t="shared" ref="M83" si="94">IF(ISNA(VLOOKUP(L83,$A:$A,1,0)),"Não","Sim")</f>
        <v>Não</v>
      </c>
      <c r="N83" s="26">
        <f t="shared" si="78"/>
        <v>39386</v>
      </c>
    </row>
    <row r="84" spans="1:14" x14ac:dyDescent="0.25">
      <c r="A84" s="39">
        <v>39401</v>
      </c>
      <c r="B84" t="s">
        <v>105</v>
      </c>
      <c r="C84" t="s">
        <v>110</v>
      </c>
      <c r="E84" s="26">
        <v>39387</v>
      </c>
      <c r="F84" s="26">
        <f t="shared" si="71"/>
        <v>39416</v>
      </c>
      <c r="G84" s="19">
        <f t="shared" si="72"/>
        <v>5</v>
      </c>
      <c r="H84" s="26">
        <f t="shared" si="73"/>
        <v>39416</v>
      </c>
      <c r="I84" s="26" t="str">
        <f t="shared" si="74"/>
        <v>Não</v>
      </c>
      <c r="J84" s="26">
        <f t="shared" si="75"/>
        <v>39416</v>
      </c>
      <c r="K84" s="26" t="str">
        <f t="shared" si="74"/>
        <v>Não</v>
      </c>
      <c r="L84" s="26">
        <f t="shared" si="76"/>
        <v>39416</v>
      </c>
      <c r="M84" s="26" t="str">
        <f t="shared" ref="M84" si="95">IF(ISNA(VLOOKUP(L84,$A:$A,1,0)),"Não","Sim")</f>
        <v>Não</v>
      </c>
      <c r="N84" s="26">
        <f t="shared" si="78"/>
        <v>39416</v>
      </c>
    </row>
    <row r="85" spans="1:14" x14ac:dyDescent="0.25">
      <c r="A85" s="39">
        <v>39441</v>
      </c>
      <c r="B85" t="s">
        <v>99</v>
      </c>
      <c r="C85" t="s">
        <v>111</v>
      </c>
      <c r="E85" s="26">
        <v>39417</v>
      </c>
      <c r="F85" s="26">
        <f t="shared" si="71"/>
        <v>39447</v>
      </c>
      <c r="G85" s="19">
        <f t="shared" si="72"/>
        <v>1</v>
      </c>
      <c r="H85" s="26">
        <f t="shared" si="73"/>
        <v>39447</v>
      </c>
      <c r="I85" s="26" t="str">
        <f t="shared" si="74"/>
        <v>Não</v>
      </c>
      <c r="J85" s="26">
        <f t="shared" si="75"/>
        <v>39447</v>
      </c>
      <c r="K85" s="26" t="str">
        <f t="shared" si="74"/>
        <v>Não</v>
      </c>
      <c r="L85" s="26">
        <f t="shared" si="76"/>
        <v>39447</v>
      </c>
      <c r="M85" s="26" t="str">
        <f t="shared" ref="M85" si="96">IF(ISNA(VLOOKUP(L85,$A:$A,1,0)),"Não","Sim")</f>
        <v>Não</v>
      </c>
      <c r="N85" s="26">
        <f t="shared" si="78"/>
        <v>39447</v>
      </c>
    </row>
    <row r="86" spans="1:14" x14ac:dyDescent="0.25">
      <c r="A86" s="39">
        <v>39448</v>
      </c>
      <c r="B86" t="s">
        <v>99</v>
      </c>
      <c r="C86" t="s">
        <v>97</v>
      </c>
      <c r="E86" s="26">
        <v>39448</v>
      </c>
      <c r="F86" s="26">
        <f t="shared" si="71"/>
        <v>39478</v>
      </c>
      <c r="G86" s="19">
        <f t="shared" si="72"/>
        <v>4</v>
      </c>
      <c r="H86" s="26">
        <f t="shared" si="73"/>
        <v>39478</v>
      </c>
      <c r="I86" s="26" t="str">
        <f t="shared" si="74"/>
        <v>Não</v>
      </c>
      <c r="J86" s="26">
        <f t="shared" si="75"/>
        <v>39478</v>
      </c>
      <c r="K86" s="26" t="str">
        <f t="shared" si="74"/>
        <v>Não</v>
      </c>
      <c r="L86" s="26">
        <f t="shared" si="76"/>
        <v>39478</v>
      </c>
      <c r="M86" s="26" t="str">
        <f t="shared" ref="M86" si="97">IF(ISNA(VLOOKUP(L86,$A:$A,1,0)),"Não","Sim")</f>
        <v>Não</v>
      </c>
      <c r="N86" s="26">
        <f t="shared" si="78"/>
        <v>39478</v>
      </c>
    </row>
    <row r="87" spans="1:14" x14ac:dyDescent="0.25">
      <c r="A87" s="39">
        <v>39482</v>
      </c>
      <c r="B87" t="s">
        <v>96</v>
      </c>
      <c r="C87" t="s">
        <v>98</v>
      </c>
      <c r="E87" s="26">
        <v>39479</v>
      </c>
      <c r="F87" s="26">
        <f t="shared" si="71"/>
        <v>39507</v>
      </c>
      <c r="G87" s="19">
        <f t="shared" si="72"/>
        <v>5</v>
      </c>
      <c r="H87" s="26">
        <f t="shared" si="73"/>
        <v>39507</v>
      </c>
      <c r="I87" s="26" t="str">
        <f t="shared" si="74"/>
        <v>Não</v>
      </c>
      <c r="J87" s="26">
        <f t="shared" si="75"/>
        <v>39507</v>
      </c>
      <c r="K87" s="26" t="str">
        <f t="shared" si="74"/>
        <v>Não</v>
      </c>
      <c r="L87" s="26">
        <f t="shared" si="76"/>
        <v>39507</v>
      </c>
      <c r="M87" s="26" t="str">
        <f t="shared" ref="M87" si="98">IF(ISNA(VLOOKUP(L87,$A:$A,1,0)),"Não","Sim")</f>
        <v>Não</v>
      </c>
      <c r="N87" s="26">
        <f t="shared" si="78"/>
        <v>39507</v>
      </c>
    </row>
    <row r="88" spans="1:14" x14ac:dyDescent="0.25">
      <c r="A88" s="39">
        <v>39483</v>
      </c>
      <c r="B88" t="s">
        <v>99</v>
      </c>
      <c r="C88" t="s">
        <v>98</v>
      </c>
      <c r="E88" s="26">
        <v>39508</v>
      </c>
      <c r="F88" s="26">
        <f t="shared" si="71"/>
        <v>39538</v>
      </c>
      <c r="G88" s="19">
        <f t="shared" si="72"/>
        <v>1</v>
      </c>
      <c r="H88" s="26">
        <f t="shared" si="73"/>
        <v>39538</v>
      </c>
      <c r="I88" s="26" t="str">
        <f t="shared" si="74"/>
        <v>Não</v>
      </c>
      <c r="J88" s="26">
        <f t="shared" si="75"/>
        <v>39538</v>
      </c>
      <c r="K88" s="26" t="str">
        <f t="shared" si="74"/>
        <v>Não</v>
      </c>
      <c r="L88" s="26">
        <f t="shared" si="76"/>
        <v>39538</v>
      </c>
      <c r="M88" s="26" t="str">
        <f t="shared" ref="M88" si="99">IF(ISNA(VLOOKUP(L88,$A:$A,1,0)),"Não","Sim")</f>
        <v>Não</v>
      </c>
      <c r="N88" s="26">
        <f t="shared" si="78"/>
        <v>39538</v>
      </c>
    </row>
    <row r="89" spans="1:14" x14ac:dyDescent="0.25">
      <c r="A89" s="39">
        <v>39528</v>
      </c>
      <c r="B89" t="s">
        <v>100</v>
      </c>
      <c r="C89" t="s">
        <v>101</v>
      </c>
      <c r="E89" s="26">
        <v>39539</v>
      </c>
      <c r="F89" s="26">
        <f t="shared" si="71"/>
        <v>39568</v>
      </c>
      <c r="G89" s="19">
        <f t="shared" si="72"/>
        <v>3</v>
      </c>
      <c r="H89" s="26">
        <f t="shared" si="73"/>
        <v>39568</v>
      </c>
      <c r="I89" s="26" t="str">
        <f t="shared" si="74"/>
        <v>Não</v>
      </c>
      <c r="J89" s="26">
        <f t="shared" si="75"/>
        <v>39568</v>
      </c>
      <c r="K89" s="26" t="str">
        <f t="shared" si="74"/>
        <v>Não</v>
      </c>
      <c r="L89" s="26">
        <f t="shared" si="76"/>
        <v>39568</v>
      </c>
      <c r="M89" s="26" t="str">
        <f t="shared" ref="M89" si="100">IF(ISNA(VLOOKUP(L89,$A:$A,1,0)),"Não","Sim")</f>
        <v>Não</v>
      </c>
      <c r="N89" s="26">
        <f t="shared" si="78"/>
        <v>39568</v>
      </c>
    </row>
    <row r="90" spans="1:14" x14ac:dyDescent="0.25">
      <c r="A90" s="39">
        <v>39559</v>
      </c>
      <c r="B90" t="s">
        <v>96</v>
      </c>
      <c r="C90" t="s">
        <v>103</v>
      </c>
      <c r="E90" s="26">
        <v>39569</v>
      </c>
      <c r="F90" s="26">
        <f t="shared" si="71"/>
        <v>39599</v>
      </c>
      <c r="G90" s="19">
        <f t="shared" si="72"/>
        <v>6</v>
      </c>
      <c r="H90" s="26">
        <f t="shared" si="73"/>
        <v>39598</v>
      </c>
      <c r="I90" s="26" t="str">
        <f t="shared" si="74"/>
        <v>Não</v>
      </c>
      <c r="J90" s="26">
        <f t="shared" si="75"/>
        <v>39598</v>
      </c>
      <c r="K90" s="26" t="str">
        <f t="shared" si="74"/>
        <v>Não</v>
      </c>
      <c r="L90" s="26">
        <f t="shared" si="76"/>
        <v>39598</v>
      </c>
      <c r="M90" s="26" t="str">
        <f t="shared" ref="M90" si="101">IF(ISNA(VLOOKUP(L90,$A:$A,1,0)),"Não","Sim")</f>
        <v>Não</v>
      </c>
      <c r="N90" s="26">
        <f t="shared" si="78"/>
        <v>39598</v>
      </c>
    </row>
    <row r="91" spans="1:14" x14ac:dyDescent="0.25">
      <c r="A91" s="39">
        <v>39569</v>
      </c>
      <c r="B91" t="s">
        <v>105</v>
      </c>
      <c r="C91" t="s">
        <v>104</v>
      </c>
      <c r="E91" s="26">
        <v>39600</v>
      </c>
      <c r="F91" s="26">
        <f t="shared" si="71"/>
        <v>39629</v>
      </c>
      <c r="G91" s="19">
        <f t="shared" si="72"/>
        <v>1</v>
      </c>
      <c r="H91" s="26">
        <f t="shared" si="73"/>
        <v>39629</v>
      </c>
      <c r="I91" s="26" t="str">
        <f t="shared" si="74"/>
        <v>Não</v>
      </c>
      <c r="J91" s="26">
        <f t="shared" si="75"/>
        <v>39629</v>
      </c>
      <c r="K91" s="26" t="str">
        <f t="shared" si="74"/>
        <v>Não</v>
      </c>
      <c r="L91" s="26">
        <f t="shared" si="76"/>
        <v>39629</v>
      </c>
      <c r="M91" s="26" t="str">
        <f t="shared" ref="M91" si="102">IF(ISNA(VLOOKUP(L91,$A:$A,1,0)),"Não","Sim")</f>
        <v>Não</v>
      </c>
      <c r="N91" s="26">
        <f t="shared" si="78"/>
        <v>39629</v>
      </c>
    </row>
    <row r="92" spans="1:14" x14ac:dyDescent="0.25">
      <c r="A92" s="39">
        <v>39590</v>
      </c>
      <c r="B92" t="s">
        <v>105</v>
      </c>
      <c r="C92" t="s">
        <v>106</v>
      </c>
      <c r="E92" s="26">
        <v>39630</v>
      </c>
      <c r="F92" s="26">
        <f t="shared" si="71"/>
        <v>39660</v>
      </c>
      <c r="G92" s="19">
        <f t="shared" si="72"/>
        <v>4</v>
      </c>
      <c r="H92" s="26">
        <f t="shared" si="73"/>
        <v>39660</v>
      </c>
      <c r="I92" s="26" t="str">
        <f t="shared" si="74"/>
        <v>Não</v>
      </c>
      <c r="J92" s="26">
        <f t="shared" si="75"/>
        <v>39660</v>
      </c>
      <c r="K92" s="26" t="str">
        <f t="shared" si="74"/>
        <v>Não</v>
      </c>
      <c r="L92" s="26">
        <f t="shared" si="76"/>
        <v>39660</v>
      </c>
      <c r="M92" s="26" t="str">
        <f t="shared" ref="M92" si="103">IF(ISNA(VLOOKUP(L92,$A:$A,1,0)),"Não","Sim")</f>
        <v>Não</v>
      </c>
      <c r="N92" s="26">
        <f t="shared" si="78"/>
        <v>39660</v>
      </c>
    </row>
    <row r="93" spans="1:14" x14ac:dyDescent="0.25">
      <c r="A93" s="39">
        <v>39698</v>
      </c>
      <c r="B93" t="s">
        <v>112</v>
      </c>
      <c r="C93" t="s">
        <v>107</v>
      </c>
      <c r="E93" s="26">
        <v>39661</v>
      </c>
      <c r="F93" s="26">
        <f t="shared" si="71"/>
        <v>39691</v>
      </c>
      <c r="G93" s="19">
        <f t="shared" si="72"/>
        <v>7</v>
      </c>
      <c r="H93" s="26">
        <f t="shared" si="73"/>
        <v>39689</v>
      </c>
      <c r="I93" s="26" t="str">
        <f t="shared" si="74"/>
        <v>Não</v>
      </c>
      <c r="J93" s="26">
        <f t="shared" si="75"/>
        <v>39689</v>
      </c>
      <c r="K93" s="26" t="str">
        <f t="shared" si="74"/>
        <v>Não</v>
      </c>
      <c r="L93" s="26">
        <f t="shared" si="76"/>
        <v>39689</v>
      </c>
      <c r="M93" s="26" t="str">
        <f t="shared" ref="M93" si="104">IF(ISNA(VLOOKUP(L93,$A:$A,1,0)),"Não","Sim")</f>
        <v>Não</v>
      </c>
      <c r="N93" s="26">
        <f t="shared" si="78"/>
        <v>39689</v>
      </c>
    </row>
    <row r="94" spans="1:14" x14ac:dyDescent="0.25">
      <c r="A94" s="39">
        <v>39733</v>
      </c>
      <c r="B94" t="s">
        <v>112</v>
      </c>
      <c r="C94" t="s">
        <v>108</v>
      </c>
      <c r="E94" s="26">
        <v>39692</v>
      </c>
      <c r="F94" s="26">
        <f t="shared" si="71"/>
        <v>39721</v>
      </c>
      <c r="G94" s="19">
        <f t="shared" si="72"/>
        <v>2</v>
      </c>
      <c r="H94" s="26">
        <f t="shared" si="73"/>
        <v>39721</v>
      </c>
      <c r="I94" s="26" t="str">
        <f t="shared" si="74"/>
        <v>Não</v>
      </c>
      <c r="J94" s="26">
        <f t="shared" si="75"/>
        <v>39721</v>
      </c>
      <c r="K94" s="26" t="str">
        <f t="shared" si="74"/>
        <v>Não</v>
      </c>
      <c r="L94" s="26">
        <f t="shared" si="76"/>
        <v>39721</v>
      </c>
      <c r="M94" s="26" t="str">
        <f t="shared" ref="M94" si="105">IF(ISNA(VLOOKUP(L94,$A:$A,1,0)),"Não","Sim")</f>
        <v>Não</v>
      </c>
      <c r="N94" s="26">
        <f t="shared" si="78"/>
        <v>39721</v>
      </c>
    </row>
    <row r="95" spans="1:14" x14ac:dyDescent="0.25">
      <c r="A95" s="39">
        <v>39754</v>
      </c>
      <c r="B95" t="s">
        <v>112</v>
      </c>
      <c r="C95" t="s">
        <v>109</v>
      </c>
      <c r="E95" s="26">
        <v>39722</v>
      </c>
      <c r="F95" s="26">
        <f t="shared" si="71"/>
        <v>39752</v>
      </c>
      <c r="G95" s="19">
        <f t="shared" si="72"/>
        <v>5</v>
      </c>
      <c r="H95" s="26">
        <f t="shared" si="73"/>
        <v>39752</v>
      </c>
      <c r="I95" s="26" t="str">
        <f t="shared" si="74"/>
        <v>Não</v>
      </c>
      <c r="J95" s="26">
        <f t="shared" si="75"/>
        <v>39752</v>
      </c>
      <c r="K95" s="26" t="str">
        <f t="shared" si="74"/>
        <v>Não</v>
      </c>
      <c r="L95" s="26">
        <f t="shared" si="76"/>
        <v>39752</v>
      </c>
      <c r="M95" s="26" t="str">
        <f t="shared" ref="M95" si="106">IF(ISNA(VLOOKUP(L95,$A:$A,1,0)),"Não","Sim")</f>
        <v>Não</v>
      </c>
      <c r="N95" s="26">
        <f t="shared" si="78"/>
        <v>39752</v>
      </c>
    </row>
    <row r="96" spans="1:14" x14ac:dyDescent="0.25">
      <c r="A96" s="39">
        <v>39767</v>
      </c>
      <c r="B96" t="s">
        <v>102</v>
      </c>
      <c r="C96" t="s">
        <v>110</v>
      </c>
      <c r="E96" s="26">
        <v>39753</v>
      </c>
      <c r="F96" s="26">
        <f t="shared" si="71"/>
        <v>39782</v>
      </c>
      <c r="G96" s="19">
        <f t="shared" si="72"/>
        <v>7</v>
      </c>
      <c r="H96" s="26">
        <f t="shared" si="73"/>
        <v>39780</v>
      </c>
      <c r="I96" s="26" t="str">
        <f t="shared" si="74"/>
        <v>Não</v>
      </c>
      <c r="J96" s="26">
        <f t="shared" si="75"/>
        <v>39780</v>
      </c>
      <c r="K96" s="26" t="str">
        <f t="shared" si="74"/>
        <v>Não</v>
      </c>
      <c r="L96" s="26">
        <f t="shared" si="76"/>
        <v>39780</v>
      </c>
      <c r="M96" s="26" t="str">
        <f t="shared" ref="M96" si="107">IF(ISNA(VLOOKUP(L96,$A:$A,1,0)),"Não","Sim")</f>
        <v>Não</v>
      </c>
      <c r="N96" s="26">
        <f t="shared" si="78"/>
        <v>39780</v>
      </c>
    </row>
    <row r="97" spans="1:14" x14ac:dyDescent="0.25">
      <c r="A97" s="39">
        <v>39807</v>
      </c>
      <c r="B97" t="s">
        <v>105</v>
      </c>
      <c r="C97" t="s">
        <v>111</v>
      </c>
      <c r="E97" s="26">
        <v>39783</v>
      </c>
      <c r="F97" s="26">
        <f t="shared" si="71"/>
        <v>39813</v>
      </c>
      <c r="G97" s="19">
        <f t="shared" si="72"/>
        <v>3</v>
      </c>
      <c r="H97" s="26">
        <f t="shared" si="73"/>
        <v>39813</v>
      </c>
      <c r="I97" s="26" t="str">
        <f t="shared" si="74"/>
        <v>Não</v>
      </c>
      <c r="J97" s="26">
        <f t="shared" si="75"/>
        <v>39813</v>
      </c>
      <c r="K97" s="26" t="str">
        <f t="shared" si="74"/>
        <v>Não</v>
      </c>
      <c r="L97" s="26">
        <f t="shared" si="76"/>
        <v>39813</v>
      </c>
      <c r="M97" s="26" t="str">
        <f t="shared" ref="M97" si="108">IF(ISNA(VLOOKUP(L97,$A:$A,1,0)),"Não","Sim")</f>
        <v>Não</v>
      </c>
      <c r="N97" s="26">
        <f t="shared" si="78"/>
        <v>39813</v>
      </c>
    </row>
    <row r="98" spans="1:14" x14ac:dyDescent="0.25">
      <c r="A98" s="39">
        <v>39814</v>
      </c>
      <c r="B98" t="s">
        <v>105</v>
      </c>
      <c r="C98" t="s">
        <v>97</v>
      </c>
      <c r="E98" s="26">
        <v>39814</v>
      </c>
      <c r="F98" s="26">
        <f t="shared" si="71"/>
        <v>39844</v>
      </c>
      <c r="G98" s="19">
        <f t="shared" si="72"/>
        <v>6</v>
      </c>
      <c r="H98" s="26">
        <f t="shared" si="73"/>
        <v>39843</v>
      </c>
      <c r="I98" s="26" t="str">
        <f t="shared" si="74"/>
        <v>Não</v>
      </c>
      <c r="J98" s="26">
        <f t="shared" si="75"/>
        <v>39843</v>
      </c>
      <c r="K98" s="26" t="str">
        <f t="shared" si="74"/>
        <v>Não</v>
      </c>
      <c r="L98" s="26">
        <f t="shared" si="76"/>
        <v>39843</v>
      </c>
      <c r="M98" s="26" t="str">
        <f t="shared" ref="M98" si="109">IF(ISNA(VLOOKUP(L98,$A:$A,1,0)),"Não","Sim")</f>
        <v>Não</v>
      </c>
      <c r="N98" s="26">
        <f t="shared" si="78"/>
        <v>39843</v>
      </c>
    </row>
    <row r="99" spans="1:14" x14ac:dyDescent="0.25">
      <c r="A99" s="39">
        <v>39867</v>
      </c>
      <c r="B99" t="s">
        <v>96</v>
      </c>
      <c r="C99" t="s">
        <v>98</v>
      </c>
      <c r="E99" s="26">
        <v>39845</v>
      </c>
      <c r="F99" s="26">
        <f t="shared" si="71"/>
        <v>39872</v>
      </c>
      <c r="G99" s="19">
        <f t="shared" si="72"/>
        <v>6</v>
      </c>
      <c r="H99" s="26">
        <f t="shared" si="73"/>
        <v>39871</v>
      </c>
      <c r="I99" s="26" t="str">
        <f t="shared" si="74"/>
        <v>Não</v>
      </c>
      <c r="J99" s="26">
        <f t="shared" si="75"/>
        <v>39871</v>
      </c>
      <c r="K99" s="26" t="str">
        <f t="shared" si="74"/>
        <v>Não</v>
      </c>
      <c r="L99" s="26">
        <f t="shared" si="76"/>
        <v>39871</v>
      </c>
      <c r="M99" s="26" t="str">
        <f t="shared" ref="M99" si="110">IF(ISNA(VLOOKUP(L99,$A:$A,1,0)),"Não","Sim")</f>
        <v>Não</v>
      </c>
      <c r="N99" s="26">
        <f t="shared" si="78"/>
        <v>39871</v>
      </c>
    </row>
    <row r="100" spans="1:14" x14ac:dyDescent="0.25">
      <c r="A100" s="39">
        <v>39868</v>
      </c>
      <c r="B100" t="s">
        <v>99</v>
      </c>
      <c r="C100" t="s">
        <v>98</v>
      </c>
      <c r="E100" s="26">
        <v>39873</v>
      </c>
      <c r="F100" s="26">
        <f t="shared" si="71"/>
        <v>39903</v>
      </c>
      <c r="G100" s="19">
        <f t="shared" si="72"/>
        <v>2</v>
      </c>
      <c r="H100" s="26">
        <f t="shared" si="73"/>
        <v>39903</v>
      </c>
      <c r="I100" s="26" t="str">
        <f t="shared" si="74"/>
        <v>Não</v>
      </c>
      <c r="J100" s="26">
        <f t="shared" si="75"/>
        <v>39903</v>
      </c>
      <c r="K100" s="26" t="str">
        <f t="shared" si="74"/>
        <v>Não</v>
      </c>
      <c r="L100" s="26">
        <f t="shared" si="76"/>
        <v>39903</v>
      </c>
      <c r="M100" s="26" t="str">
        <f t="shared" ref="M100" si="111">IF(ISNA(VLOOKUP(L100,$A:$A,1,0)),"Não","Sim")</f>
        <v>Não</v>
      </c>
      <c r="N100" s="26">
        <f t="shared" si="78"/>
        <v>39903</v>
      </c>
    </row>
    <row r="101" spans="1:14" x14ac:dyDescent="0.25">
      <c r="A101" s="39">
        <v>39913</v>
      </c>
      <c r="B101" t="s">
        <v>100</v>
      </c>
      <c r="C101" t="s">
        <v>101</v>
      </c>
      <c r="E101" s="26">
        <v>39904</v>
      </c>
      <c r="F101" s="26">
        <f t="shared" si="71"/>
        <v>39933</v>
      </c>
      <c r="G101" s="19">
        <f t="shared" si="72"/>
        <v>4</v>
      </c>
      <c r="H101" s="26">
        <f t="shared" si="73"/>
        <v>39933</v>
      </c>
      <c r="I101" s="26" t="str">
        <f t="shared" si="74"/>
        <v>Não</v>
      </c>
      <c r="J101" s="26">
        <f t="shared" si="75"/>
        <v>39933</v>
      </c>
      <c r="K101" s="26" t="str">
        <f t="shared" si="74"/>
        <v>Não</v>
      </c>
      <c r="L101" s="26">
        <f t="shared" si="76"/>
        <v>39933</v>
      </c>
      <c r="M101" s="26" t="str">
        <f t="shared" ref="M101" si="112">IF(ISNA(VLOOKUP(L101,$A:$A,1,0)),"Não","Sim")</f>
        <v>Não</v>
      </c>
      <c r="N101" s="26">
        <f t="shared" si="78"/>
        <v>39933</v>
      </c>
    </row>
    <row r="102" spans="1:14" x14ac:dyDescent="0.25">
      <c r="A102" s="39">
        <v>39924</v>
      </c>
      <c r="B102" t="s">
        <v>99</v>
      </c>
      <c r="C102" t="s">
        <v>103</v>
      </c>
      <c r="E102" s="26">
        <v>39934</v>
      </c>
      <c r="F102" s="26">
        <f t="shared" si="71"/>
        <v>39964</v>
      </c>
      <c r="G102" s="19">
        <f t="shared" si="72"/>
        <v>7</v>
      </c>
      <c r="H102" s="26">
        <f t="shared" si="73"/>
        <v>39962</v>
      </c>
      <c r="I102" s="26" t="str">
        <f t="shared" si="74"/>
        <v>Não</v>
      </c>
      <c r="J102" s="26">
        <f t="shared" si="75"/>
        <v>39962</v>
      </c>
      <c r="K102" s="26" t="str">
        <f t="shared" si="74"/>
        <v>Não</v>
      </c>
      <c r="L102" s="26">
        <f t="shared" si="76"/>
        <v>39962</v>
      </c>
      <c r="M102" s="26" t="str">
        <f t="shared" ref="M102" si="113">IF(ISNA(VLOOKUP(L102,$A:$A,1,0)),"Não","Sim")</f>
        <v>Não</v>
      </c>
      <c r="N102" s="26">
        <f t="shared" si="78"/>
        <v>39962</v>
      </c>
    </row>
    <row r="103" spans="1:14" x14ac:dyDescent="0.25">
      <c r="A103" s="39">
        <v>39934</v>
      </c>
      <c r="B103" t="s">
        <v>100</v>
      </c>
      <c r="C103" t="s">
        <v>104</v>
      </c>
      <c r="E103" s="26">
        <v>39965</v>
      </c>
      <c r="F103" s="26">
        <f t="shared" si="71"/>
        <v>39994</v>
      </c>
      <c r="G103" s="19">
        <f t="shared" si="72"/>
        <v>2</v>
      </c>
      <c r="H103" s="26">
        <f t="shared" si="73"/>
        <v>39994</v>
      </c>
      <c r="I103" s="26" t="str">
        <f t="shared" si="74"/>
        <v>Não</v>
      </c>
      <c r="J103" s="26">
        <f t="shared" si="75"/>
        <v>39994</v>
      </c>
      <c r="K103" s="26" t="str">
        <f t="shared" si="74"/>
        <v>Não</v>
      </c>
      <c r="L103" s="26">
        <f t="shared" si="76"/>
        <v>39994</v>
      </c>
      <c r="M103" s="26" t="str">
        <f t="shared" ref="M103" si="114">IF(ISNA(VLOOKUP(L103,$A:$A,1,0)),"Não","Sim")</f>
        <v>Não</v>
      </c>
      <c r="N103" s="26">
        <f t="shared" si="78"/>
        <v>39994</v>
      </c>
    </row>
    <row r="104" spans="1:14" x14ac:dyDescent="0.25">
      <c r="A104" s="39">
        <v>39975</v>
      </c>
      <c r="B104" t="s">
        <v>105</v>
      </c>
      <c r="C104" t="s">
        <v>106</v>
      </c>
      <c r="E104" s="26">
        <v>39995</v>
      </c>
      <c r="F104" s="26">
        <f t="shared" si="71"/>
        <v>40025</v>
      </c>
      <c r="G104" s="19">
        <f t="shared" si="72"/>
        <v>5</v>
      </c>
      <c r="H104" s="26">
        <f t="shared" si="73"/>
        <v>40025</v>
      </c>
      <c r="I104" s="26" t="str">
        <f t="shared" si="74"/>
        <v>Não</v>
      </c>
      <c r="J104" s="26">
        <f t="shared" si="75"/>
        <v>40025</v>
      </c>
      <c r="K104" s="26" t="str">
        <f t="shared" si="74"/>
        <v>Não</v>
      </c>
      <c r="L104" s="26">
        <f t="shared" si="76"/>
        <v>40025</v>
      </c>
      <c r="M104" s="26" t="str">
        <f t="shared" ref="M104" si="115">IF(ISNA(VLOOKUP(L104,$A:$A,1,0)),"Não","Sim")</f>
        <v>Não</v>
      </c>
      <c r="N104" s="26">
        <f t="shared" si="78"/>
        <v>40025</v>
      </c>
    </row>
    <row r="105" spans="1:14" x14ac:dyDescent="0.25">
      <c r="A105" s="39">
        <v>40063</v>
      </c>
      <c r="B105" t="s">
        <v>96</v>
      </c>
      <c r="C105" t="s">
        <v>107</v>
      </c>
      <c r="E105" s="26">
        <v>40026</v>
      </c>
      <c r="F105" s="26">
        <f t="shared" si="71"/>
        <v>40056</v>
      </c>
      <c r="G105" s="19">
        <f t="shared" si="72"/>
        <v>1</v>
      </c>
      <c r="H105" s="26">
        <f t="shared" si="73"/>
        <v>40056</v>
      </c>
      <c r="I105" s="26" t="str">
        <f t="shared" si="74"/>
        <v>Não</v>
      </c>
      <c r="J105" s="26">
        <f t="shared" si="75"/>
        <v>40056</v>
      </c>
      <c r="K105" s="26" t="str">
        <f t="shared" si="74"/>
        <v>Não</v>
      </c>
      <c r="L105" s="26">
        <f t="shared" si="76"/>
        <v>40056</v>
      </c>
      <c r="M105" s="26" t="str">
        <f t="shared" ref="M105" si="116">IF(ISNA(VLOOKUP(L105,$A:$A,1,0)),"Não","Sim")</f>
        <v>Não</v>
      </c>
      <c r="N105" s="26">
        <f t="shared" si="78"/>
        <v>40056</v>
      </c>
    </row>
    <row r="106" spans="1:14" x14ac:dyDescent="0.25">
      <c r="A106" s="39">
        <v>40098</v>
      </c>
      <c r="B106" t="s">
        <v>96</v>
      </c>
      <c r="C106" t="s">
        <v>108</v>
      </c>
      <c r="E106" s="26">
        <v>40057</v>
      </c>
      <c r="F106" s="26">
        <f t="shared" si="71"/>
        <v>40086</v>
      </c>
      <c r="G106" s="19">
        <f t="shared" si="72"/>
        <v>3</v>
      </c>
      <c r="H106" s="26">
        <f t="shared" si="73"/>
        <v>40086</v>
      </c>
      <c r="I106" s="26" t="str">
        <f t="shared" si="74"/>
        <v>Não</v>
      </c>
      <c r="J106" s="26">
        <f t="shared" si="75"/>
        <v>40086</v>
      </c>
      <c r="K106" s="26" t="str">
        <f t="shared" si="74"/>
        <v>Não</v>
      </c>
      <c r="L106" s="26">
        <f t="shared" si="76"/>
        <v>40086</v>
      </c>
      <c r="M106" s="26" t="str">
        <f t="shared" ref="M106" si="117">IF(ISNA(VLOOKUP(L106,$A:$A,1,0)),"Não","Sim")</f>
        <v>Não</v>
      </c>
      <c r="N106" s="26">
        <f t="shared" si="78"/>
        <v>40086</v>
      </c>
    </row>
    <row r="107" spans="1:14" x14ac:dyDescent="0.25">
      <c r="A107" s="39">
        <v>40119</v>
      </c>
      <c r="B107" t="s">
        <v>96</v>
      </c>
      <c r="C107" t="s">
        <v>109</v>
      </c>
      <c r="E107" s="26">
        <v>40087</v>
      </c>
      <c r="F107" s="26">
        <f t="shared" si="71"/>
        <v>40117</v>
      </c>
      <c r="G107" s="19">
        <f t="shared" si="72"/>
        <v>6</v>
      </c>
      <c r="H107" s="26">
        <f t="shared" si="73"/>
        <v>40116</v>
      </c>
      <c r="I107" s="26" t="str">
        <f t="shared" si="74"/>
        <v>Não</v>
      </c>
      <c r="J107" s="26">
        <f t="shared" si="75"/>
        <v>40116</v>
      </c>
      <c r="K107" s="26" t="str">
        <f t="shared" si="74"/>
        <v>Não</v>
      </c>
      <c r="L107" s="26">
        <f t="shared" si="76"/>
        <v>40116</v>
      </c>
      <c r="M107" s="26" t="str">
        <f t="shared" ref="M107" si="118">IF(ISNA(VLOOKUP(L107,$A:$A,1,0)),"Não","Sim")</f>
        <v>Não</v>
      </c>
      <c r="N107" s="26">
        <f t="shared" si="78"/>
        <v>40116</v>
      </c>
    </row>
    <row r="108" spans="1:14" x14ac:dyDescent="0.25">
      <c r="A108" s="39">
        <v>40132</v>
      </c>
      <c r="B108" t="s">
        <v>112</v>
      </c>
      <c r="C108" t="s">
        <v>110</v>
      </c>
      <c r="E108" s="26">
        <v>40118</v>
      </c>
      <c r="F108" s="26">
        <f t="shared" si="71"/>
        <v>40147</v>
      </c>
      <c r="G108" s="19">
        <f t="shared" si="72"/>
        <v>1</v>
      </c>
      <c r="H108" s="26">
        <f t="shared" si="73"/>
        <v>40147</v>
      </c>
      <c r="I108" s="26" t="str">
        <f t="shared" si="74"/>
        <v>Não</v>
      </c>
      <c r="J108" s="26">
        <f t="shared" si="75"/>
        <v>40147</v>
      </c>
      <c r="K108" s="26" t="str">
        <f t="shared" si="74"/>
        <v>Não</v>
      </c>
      <c r="L108" s="26">
        <f t="shared" si="76"/>
        <v>40147</v>
      </c>
      <c r="M108" s="26" t="str">
        <f t="shared" ref="M108" si="119">IF(ISNA(VLOOKUP(L108,$A:$A,1,0)),"Não","Sim")</f>
        <v>Não</v>
      </c>
      <c r="N108" s="26">
        <f t="shared" si="78"/>
        <v>40147</v>
      </c>
    </row>
    <row r="109" spans="1:14" x14ac:dyDescent="0.25">
      <c r="A109" s="39">
        <v>40172</v>
      </c>
      <c r="B109" t="s">
        <v>100</v>
      </c>
      <c r="C109" t="s">
        <v>111</v>
      </c>
      <c r="E109" s="26">
        <v>40148</v>
      </c>
      <c r="F109" s="26">
        <f t="shared" si="71"/>
        <v>40178</v>
      </c>
      <c r="G109" s="19">
        <f t="shared" si="72"/>
        <v>4</v>
      </c>
      <c r="H109" s="26">
        <f t="shared" si="73"/>
        <v>40178</v>
      </c>
      <c r="I109" s="26" t="str">
        <f t="shared" si="74"/>
        <v>Não</v>
      </c>
      <c r="J109" s="26">
        <f t="shared" si="75"/>
        <v>40178</v>
      </c>
      <c r="K109" s="26" t="str">
        <f t="shared" si="74"/>
        <v>Não</v>
      </c>
      <c r="L109" s="26">
        <f t="shared" si="76"/>
        <v>40178</v>
      </c>
      <c r="M109" s="26" t="str">
        <f t="shared" ref="M109" si="120">IF(ISNA(VLOOKUP(L109,$A:$A,1,0)),"Não","Sim")</f>
        <v>Não</v>
      </c>
      <c r="N109" s="26">
        <f t="shared" si="78"/>
        <v>40178</v>
      </c>
    </row>
    <row r="110" spans="1:14" x14ac:dyDescent="0.25">
      <c r="A110" s="39">
        <v>40179</v>
      </c>
      <c r="B110" t="s">
        <v>100</v>
      </c>
      <c r="C110" t="s">
        <v>97</v>
      </c>
      <c r="E110" s="26">
        <v>40179</v>
      </c>
      <c r="F110" s="26">
        <f t="shared" si="71"/>
        <v>40209</v>
      </c>
      <c r="G110" s="19">
        <f t="shared" si="72"/>
        <v>7</v>
      </c>
      <c r="H110" s="26">
        <f t="shared" si="73"/>
        <v>40207</v>
      </c>
      <c r="I110" s="26" t="str">
        <f t="shared" si="74"/>
        <v>Não</v>
      </c>
      <c r="J110" s="26">
        <f t="shared" si="75"/>
        <v>40207</v>
      </c>
      <c r="K110" s="26" t="str">
        <f t="shared" si="74"/>
        <v>Não</v>
      </c>
      <c r="L110" s="26">
        <f t="shared" si="76"/>
        <v>40207</v>
      </c>
      <c r="M110" s="26" t="str">
        <f t="shared" ref="M110" si="121">IF(ISNA(VLOOKUP(L110,$A:$A,1,0)),"Não","Sim")</f>
        <v>Não</v>
      </c>
      <c r="N110" s="26">
        <f t="shared" si="78"/>
        <v>40207</v>
      </c>
    </row>
    <row r="111" spans="1:14" x14ac:dyDescent="0.25">
      <c r="A111" s="39">
        <v>40224</v>
      </c>
      <c r="B111" t="s">
        <v>96</v>
      </c>
      <c r="C111" t="s">
        <v>98</v>
      </c>
      <c r="E111" s="26">
        <v>40210</v>
      </c>
      <c r="F111" s="26">
        <f t="shared" si="71"/>
        <v>40237</v>
      </c>
      <c r="G111" s="19">
        <f t="shared" si="72"/>
        <v>7</v>
      </c>
      <c r="H111" s="26">
        <f t="shared" si="73"/>
        <v>40235</v>
      </c>
      <c r="I111" s="26" t="str">
        <f t="shared" si="74"/>
        <v>Não</v>
      </c>
      <c r="J111" s="26">
        <f t="shared" si="75"/>
        <v>40235</v>
      </c>
      <c r="K111" s="26" t="str">
        <f t="shared" si="74"/>
        <v>Não</v>
      </c>
      <c r="L111" s="26">
        <f t="shared" si="76"/>
        <v>40235</v>
      </c>
      <c r="M111" s="26" t="str">
        <f t="shared" ref="M111" si="122">IF(ISNA(VLOOKUP(L111,$A:$A,1,0)),"Não","Sim")</f>
        <v>Não</v>
      </c>
      <c r="N111" s="26">
        <f t="shared" si="78"/>
        <v>40235</v>
      </c>
    </row>
    <row r="112" spans="1:14" x14ac:dyDescent="0.25">
      <c r="A112" s="39">
        <v>40225</v>
      </c>
      <c r="B112" t="s">
        <v>99</v>
      </c>
      <c r="C112" t="s">
        <v>98</v>
      </c>
      <c r="E112" s="26">
        <v>40238</v>
      </c>
      <c r="F112" s="26">
        <f t="shared" si="71"/>
        <v>40268</v>
      </c>
      <c r="G112" s="19">
        <f t="shared" si="72"/>
        <v>3</v>
      </c>
      <c r="H112" s="26">
        <f t="shared" si="73"/>
        <v>40268</v>
      </c>
      <c r="I112" s="26" t="str">
        <f t="shared" si="74"/>
        <v>Não</v>
      </c>
      <c r="J112" s="26">
        <f t="shared" si="75"/>
        <v>40268</v>
      </c>
      <c r="K112" s="26" t="str">
        <f t="shared" si="74"/>
        <v>Não</v>
      </c>
      <c r="L112" s="26">
        <f t="shared" si="76"/>
        <v>40268</v>
      </c>
      <c r="M112" s="26" t="str">
        <f t="shared" ref="M112" si="123">IF(ISNA(VLOOKUP(L112,$A:$A,1,0)),"Não","Sim")</f>
        <v>Não</v>
      </c>
      <c r="N112" s="26">
        <f t="shared" si="78"/>
        <v>40268</v>
      </c>
    </row>
    <row r="113" spans="1:14" x14ac:dyDescent="0.25">
      <c r="A113" s="39">
        <v>40270</v>
      </c>
      <c r="B113" t="s">
        <v>100</v>
      </c>
      <c r="C113" t="s">
        <v>101</v>
      </c>
      <c r="E113" s="26">
        <v>40269</v>
      </c>
      <c r="F113" s="26">
        <f t="shared" si="71"/>
        <v>40298</v>
      </c>
      <c r="G113" s="19">
        <f t="shared" si="72"/>
        <v>5</v>
      </c>
      <c r="H113" s="26">
        <f t="shared" si="73"/>
        <v>40298</v>
      </c>
      <c r="I113" s="26" t="str">
        <f t="shared" si="74"/>
        <v>Não</v>
      </c>
      <c r="J113" s="26">
        <f t="shared" si="75"/>
        <v>40298</v>
      </c>
      <c r="K113" s="26" t="str">
        <f t="shared" si="74"/>
        <v>Não</v>
      </c>
      <c r="L113" s="26">
        <f t="shared" si="76"/>
        <v>40298</v>
      </c>
      <c r="M113" s="26" t="str">
        <f t="shared" ref="M113" si="124">IF(ISNA(VLOOKUP(L113,$A:$A,1,0)),"Não","Sim")</f>
        <v>Não</v>
      </c>
      <c r="N113" s="26">
        <f t="shared" si="78"/>
        <v>40298</v>
      </c>
    </row>
    <row r="114" spans="1:14" x14ac:dyDescent="0.25">
      <c r="A114" s="39">
        <v>40289</v>
      </c>
      <c r="B114" t="s">
        <v>113</v>
      </c>
      <c r="C114" t="s">
        <v>103</v>
      </c>
      <c r="E114" s="26">
        <v>40299</v>
      </c>
      <c r="F114" s="26">
        <f t="shared" si="71"/>
        <v>40329</v>
      </c>
      <c r="G114" s="19">
        <f t="shared" si="72"/>
        <v>1</v>
      </c>
      <c r="H114" s="26">
        <f t="shared" si="73"/>
        <v>40329</v>
      </c>
      <c r="I114" s="26" t="str">
        <f t="shared" si="74"/>
        <v>Não</v>
      </c>
      <c r="J114" s="26">
        <f t="shared" si="75"/>
        <v>40329</v>
      </c>
      <c r="K114" s="26" t="str">
        <f t="shared" si="74"/>
        <v>Não</v>
      </c>
      <c r="L114" s="26">
        <f t="shared" si="76"/>
        <v>40329</v>
      </c>
      <c r="M114" s="26" t="str">
        <f t="shared" ref="M114" si="125">IF(ISNA(VLOOKUP(L114,$A:$A,1,0)),"Não","Sim")</f>
        <v>Não</v>
      </c>
      <c r="N114" s="26">
        <f t="shared" si="78"/>
        <v>40329</v>
      </c>
    </row>
    <row r="115" spans="1:14" x14ac:dyDescent="0.25">
      <c r="A115" s="39">
        <v>40299</v>
      </c>
      <c r="B115" t="s">
        <v>102</v>
      </c>
      <c r="C115" t="s">
        <v>104</v>
      </c>
      <c r="E115" s="26">
        <v>40330</v>
      </c>
      <c r="F115" s="26">
        <f t="shared" si="71"/>
        <v>40359</v>
      </c>
      <c r="G115" s="19">
        <f t="shared" si="72"/>
        <v>3</v>
      </c>
      <c r="H115" s="26">
        <f t="shared" si="73"/>
        <v>40359</v>
      </c>
      <c r="I115" s="26" t="str">
        <f t="shared" si="74"/>
        <v>Não</v>
      </c>
      <c r="J115" s="26">
        <f t="shared" si="75"/>
        <v>40359</v>
      </c>
      <c r="K115" s="26" t="str">
        <f t="shared" si="74"/>
        <v>Não</v>
      </c>
      <c r="L115" s="26">
        <f t="shared" si="76"/>
        <v>40359</v>
      </c>
      <c r="M115" s="26" t="str">
        <f t="shared" ref="M115" si="126">IF(ISNA(VLOOKUP(L115,$A:$A,1,0)),"Não","Sim")</f>
        <v>Não</v>
      </c>
      <c r="N115" s="26">
        <f t="shared" si="78"/>
        <v>40359</v>
      </c>
    </row>
    <row r="116" spans="1:14" x14ac:dyDescent="0.25">
      <c r="A116" s="39">
        <v>40332</v>
      </c>
      <c r="B116" t="s">
        <v>105</v>
      </c>
      <c r="C116" t="s">
        <v>106</v>
      </c>
      <c r="E116" s="26">
        <v>40360</v>
      </c>
      <c r="F116" s="26">
        <f t="shared" si="71"/>
        <v>40390</v>
      </c>
      <c r="G116" s="19">
        <f t="shared" si="72"/>
        <v>6</v>
      </c>
      <c r="H116" s="26">
        <f t="shared" si="73"/>
        <v>40389</v>
      </c>
      <c r="I116" s="26" t="str">
        <f t="shared" si="74"/>
        <v>Não</v>
      </c>
      <c r="J116" s="26">
        <f t="shared" si="75"/>
        <v>40389</v>
      </c>
      <c r="K116" s="26" t="str">
        <f t="shared" si="74"/>
        <v>Não</v>
      </c>
      <c r="L116" s="26">
        <f t="shared" si="76"/>
        <v>40389</v>
      </c>
      <c r="M116" s="26" t="str">
        <f t="shared" ref="M116" si="127">IF(ISNA(VLOOKUP(L116,$A:$A,1,0)),"Não","Sim")</f>
        <v>Não</v>
      </c>
      <c r="N116" s="26">
        <f t="shared" si="78"/>
        <v>40389</v>
      </c>
    </row>
    <row r="117" spans="1:14" x14ac:dyDescent="0.25">
      <c r="A117" s="39">
        <v>40428</v>
      </c>
      <c r="B117" t="s">
        <v>99</v>
      </c>
      <c r="C117" t="s">
        <v>107</v>
      </c>
      <c r="E117" s="26">
        <v>40391</v>
      </c>
      <c r="F117" s="26">
        <f t="shared" si="71"/>
        <v>40421</v>
      </c>
      <c r="G117" s="19">
        <f t="shared" si="72"/>
        <v>2</v>
      </c>
      <c r="H117" s="26">
        <f t="shared" si="73"/>
        <v>40421</v>
      </c>
      <c r="I117" s="26" t="str">
        <f t="shared" si="74"/>
        <v>Não</v>
      </c>
      <c r="J117" s="26">
        <f t="shared" si="75"/>
        <v>40421</v>
      </c>
      <c r="K117" s="26" t="str">
        <f t="shared" si="74"/>
        <v>Não</v>
      </c>
      <c r="L117" s="26">
        <f t="shared" si="76"/>
        <v>40421</v>
      </c>
      <c r="M117" s="26" t="str">
        <f t="shared" ref="M117" si="128">IF(ISNA(VLOOKUP(L117,$A:$A,1,0)),"Não","Sim")</f>
        <v>Não</v>
      </c>
      <c r="N117" s="26">
        <f t="shared" si="78"/>
        <v>40421</v>
      </c>
    </row>
    <row r="118" spans="1:14" x14ac:dyDescent="0.25">
      <c r="A118" s="39">
        <v>40463</v>
      </c>
      <c r="B118" t="s">
        <v>99</v>
      </c>
      <c r="C118" t="s">
        <v>108</v>
      </c>
      <c r="E118" s="26">
        <v>40422</v>
      </c>
      <c r="F118" s="26">
        <f t="shared" si="71"/>
        <v>40451</v>
      </c>
      <c r="G118" s="19">
        <f t="shared" si="72"/>
        <v>4</v>
      </c>
      <c r="H118" s="26">
        <f t="shared" si="73"/>
        <v>40451</v>
      </c>
      <c r="I118" s="26" t="str">
        <f t="shared" si="74"/>
        <v>Não</v>
      </c>
      <c r="J118" s="26">
        <f t="shared" si="75"/>
        <v>40451</v>
      </c>
      <c r="K118" s="26" t="str">
        <f t="shared" si="74"/>
        <v>Não</v>
      </c>
      <c r="L118" s="26">
        <f t="shared" si="76"/>
        <v>40451</v>
      </c>
      <c r="M118" s="26" t="str">
        <f t="shared" ref="M118" si="129">IF(ISNA(VLOOKUP(L118,$A:$A,1,0)),"Não","Sim")</f>
        <v>Não</v>
      </c>
      <c r="N118" s="26">
        <f t="shared" si="78"/>
        <v>40451</v>
      </c>
    </row>
    <row r="119" spans="1:14" x14ac:dyDescent="0.25">
      <c r="A119" s="39">
        <v>40484</v>
      </c>
      <c r="B119" t="s">
        <v>99</v>
      </c>
      <c r="C119" t="s">
        <v>109</v>
      </c>
      <c r="E119" s="26">
        <v>40452</v>
      </c>
      <c r="F119" s="26">
        <f t="shared" si="71"/>
        <v>40482</v>
      </c>
      <c r="G119" s="19">
        <f t="shared" si="72"/>
        <v>7</v>
      </c>
      <c r="H119" s="26">
        <f t="shared" si="73"/>
        <v>40480</v>
      </c>
      <c r="I119" s="26" t="str">
        <f t="shared" si="74"/>
        <v>Não</v>
      </c>
      <c r="J119" s="26">
        <f t="shared" si="75"/>
        <v>40480</v>
      </c>
      <c r="K119" s="26" t="str">
        <f t="shared" si="74"/>
        <v>Não</v>
      </c>
      <c r="L119" s="26">
        <f t="shared" si="76"/>
        <v>40480</v>
      </c>
      <c r="M119" s="26" t="str">
        <f t="shared" ref="M119" si="130">IF(ISNA(VLOOKUP(L119,$A:$A,1,0)),"Não","Sim")</f>
        <v>Não</v>
      </c>
      <c r="N119" s="26">
        <f t="shared" si="78"/>
        <v>40480</v>
      </c>
    </row>
    <row r="120" spans="1:14" x14ac:dyDescent="0.25">
      <c r="A120" s="39">
        <v>40497</v>
      </c>
      <c r="B120" t="s">
        <v>96</v>
      </c>
      <c r="C120" t="s">
        <v>110</v>
      </c>
      <c r="E120" s="26">
        <v>40483</v>
      </c>
      <c r="F120" s="26">
        <f t="shared" si="71"/>
        <v>40512</v>
      </c>
      <c r="G120" s="19">
        <f t="shared" si="72"/>
        <v>2</v>
      </c>
      <c r="H120" s="26">
        <f t="shared" si="73"/>
        <v>40512</v>
      </c>
      <c r="I120" s="26" t="str">
        <f t="shared" si="74"/>
        <v>Não</v>
      </c>
      <c r="J120" s="26">
        <f t="shared" si="75"/>
        <v>40512</v>
      </c>
      <c r="K120" s="26" t="str">
        <f t="shared" si="74"/>
        <v>Não</v>
      </c>
      <c r="L120" s="26">
        <f t="shared" si="76"/>
        <v>40512</v>
      </c>
      <c r="M120" s="26" t="str">
        <f t="shared" ref="M120" si="131">IF(ISNA(VLOOKUP(L120,$A:$A,1,0)),"Não","Sim")</f>
        <v>Não</v>
      </c>
      <c r="N120" s="26">
        <f t="shared" si="78"/>
        <v>40512</v>
      </c>
    </row>
    <row r="121" spans="1:14" x14ac:dyDescent="0.25">
      <c r="A121" s="39">
        <v>40537</v>
      </c>
      <c r="B121" t="s">
        <v>102</v>
      </c>
      <c r="C121" t="s">
        <v>111</v>
      </c>
      <c r="E121" s="26">
        <v>40513</v>
      </c>
      <c r="F121" s="26">
        <f t="shared" si="71"/>
        <v>40543</v>
      </c>
      <c r="G121" s="19">
        <f t="shared" si="72"/>
        <v>5</v>
      </c>
      <c r="H121" s="26">
        <f t="shared" si="73"/>
        <v>40543</v>
      </c>
      <c r="I121" s="26" t="str">
        <f t="shared" si="74"/>
        <v>Não</v>
      </c>
      <c r="J121" s="26">
        <f t="shared" si="75"/>
        <v>40543</v>
      </c>
      <c r="K121" s="26" t="str">
        <f t="shared" si="74"/>
        <v>Não</v>
      </c>
      <c r="L121" s="26">
        <f t="shared" si="76"/>
        <v>40543</v>
      </c>
      <c r="M121" s="26" t="str">
        <f t="shared" ref="M121" si="132">IF(ISNA(VLOOKUP(L121,$A:$A,1,0)),"Não","Sim")</f>
        <v>Não</v>
      </c>
      <c r="N121" s="26">
        <f t="shared" si="78"/>
        <v>40543</v>
      </c>
    </row>
    <row r="122" spans="1:14" x14ac:dyDescent="0.25">
      <c r="A122" s="39">
        <v>40544</v>
      </c>
      <c r="B122" t="s">
        <v>102</v>
      </c>
      <c r="C122" t="s">
        <v>97</v>
      </c>
      <c r="E122" s="26">
        <v>40544</v>
      </c>
      <c r="F122" s="26">
        <f t="shared" si="71"/>
        <v>40574</v>
      </c>
      <c r="G122" s="19">
        <f t="shared" si="72"/>
        <v>1</v>
      </c>
      <c r="H122" s="26">
        <f t="shared" si="73"/>
        <v>40574</v>
      </c>
      <c r="I122" s="26" t="str">
        <f t="shared" si="74"/>
        <v>Não</v>
      </c>
      <c r="J122" s="26">
        <f t="shared" si="75"/>
        <v>40574</v>
      </c>
      <c r="K122" s="26" t="str">
        <f t="shared" si="74"/>
        <v>Não</v>
      </c>
      <c r="L122" s="26">
        <f t="shared" si="76"/>
        <v>40574</v>
      </c>
      <c r="M122" s="26" t="str">
        <f t="shared" ref="M122" si="133">IF(ISNA(VLOOKUP(L122,$A:$A,1,0)),"Não","Sim")</f>
        <v>Não</v>
      </c>
      <c r="N122" s="26">
        <f t="shared" si="78"/>
        <v>40574</v>
      </c>
    </row>
    <row r="123" spans="1:14" x14ac:dyDescent="0.25">
      <c r="A123" s="39">
        <v>40609</v>
      </c>
      <c r="B123" t="s">
        <v>96</v>
      </c>
      <c r="C123" t="s">
        <v>98</v>
      </c>
      <c r="E123" s="26">
        <v>40575</v>
      </c>
      <c r="F123" s="26">
        <f t="shared" si="71"/>
        <v>40602</v>
      </c>
      <c r="G123" s="19">
        <f t="shared" si="72"/>
        <v>1</v>
      </c>
      <c r="H123" s="26">
        <f t="shared" si="73"/>
        <v>40602</v>
      </c>
      <c r="I123" s="26" t="str">
        <f t="shared" si="74"/>
        <v>Não</v>
      </c>
      <c r="J123" s="26">
        <f t="shared" si="75"/>
        <v>40602</v>
      </c>
      <c r="K123" s="26" t="str">
        <f t="shared" si="74"/>
        <v>Não</v>
      </c>
      <c r="L123" s="26">
        <f t="shared" si="76"/>
        <v>40602</v>
      </c>
      <c r="M123" s="26" t="str">
        <f t="shared" ref="M123" si="134">IF(ISNA(VLOOKUP(L123,$A:$A,1,0)),"Não","Sim")</f>
        <v>Não</v>
      </c>
      <c r="N123" s="26">
        <f t="shared" si="78"/>
        <v>40602</v>
      </c>
    </row>
    <row r="124" spans="1:14" x14ac:dyDescent="0.25">
      <c r="A124" s="39">
        <v>40610</v>
      </c>
      <c r="B124" t="s">
        <v>99</v>
      </c>
      <c r="C124" t="s">
        <v>98</v>
      </c>
      <c r="E124" s="26">
        <v>40603</v>
      </c>
      <c r="F124" s="26">
        <f t="shared" si="71"/>
        <v>40633</v>
      </c>
      <c r="G124" s="19">
        <f t="shared" si="72"/>
        <v>4</v>
      </c>
      <c r="H124" s="26">
        <f t="shared" si="73"/>
        <v>40633</v>
      </c>
      <c r="I124" s="26" t="str">
        <f t="shared" si="74"/>
        <v>Não</v>
      </c>
      <c r="J124" s="26">
        <f t="shared" si="75"/>
        <v>40633</v>
      </c>
      <c r="K124" s="26" t="str">
        <f t="shared" si="74"/>
        <v>Não</v>
      </c>
      <c r="L124" s="26">
        <f t="shared" si="76"/>
        <v>40633</v>
      </c>
      <c r="M124" s="26" t="str">
        <f t="shared" ref="M124" si="135">IF(ISNA(VLOOKUP(L124,$A:$A,1,0)),"Não","Sim")</f>
        <v>Não</v>
      </c>
      <c r="N124" s="26">
        <f t="shared" si="78"/>
        <v>40633</v>
      </c>
    </row>
    <row r="125" spans="1:14" x14ac:dyDescent="0.25">
      <c r="A125" s="39">
        <v>40654</v>
      </c>
      <c r="B125" t="s">
        <v>105</v>
      </c>
      <c r="C125" t="s">
        <v>101</v>
      </c>
      <c r="E125" s="26">
        <v>40634</v>
      </c>
      <c r="F125" s="26">
        <f t="shared" si="71"/>
        <v>40663</v>
      </c>
      <c r="G125" s="19">
        <f t="shared" si="72"/>
        <v>6</v>
      </c>
      <c r="H125" s="26">
        <f t="shared" si="73"/>
        <v>40662</v>
      </c>
      <c r="I125" s="26" t="str">
        <f t="shared" si="74"/>
        <v>Não</v>
      </c>
      <c r="J125" s="26">
        <f t="shared" si="75"/>
        <v>40662</v>
      </c>
      <c r="K125" s="26" t="str">
        <f t="shared" si="74"/>
        <v>Não</v>
      </c>
      <c r="L125" s="26">
        <f t="shared" si="76"/>
        <v>40662</v>
      </c>
      <c r="M125" s="26" t="str">
        <f t="shared" ref="M125" si="136">IF(ISNA(VLOOKUP(L125,$A:$A,1,0)),"Não","Sim")</f>
        <v>Não</v>
      </c>
      <c r="N125" s="26">
        <f t="shared" si="78"/>
        <v>40662</v>
      </c>
    </row>
    <row r="126" spans="1:14" x14ac:dyDescent="0.25">
      <c r="A126" s="39">
        <v>40655</v>
      </c>
      <c r="B126" t="s">
        <v>100</v>
      </c>
      <c r="C126" t="s">
        <v>103</v>
      </c>
      <c r="E126" s="26">
        <v>40664</v>
      </c>
      <c r="F126" s="26">
        <f t="shared" si="71"/>
        <v>40694</v>
      </c>
      <c r="G126" s="19">
        <f t="shared" si="72"/>
        <v>2</v>
      </c>
      <c r="H126" s="26">
        <f t="shared" si="73"/>
        <v>40694</v>
      </c>
      <c r="I126" s="26" t="str">
        <f t="shared" si="74"/>
        <v>Não</v>
      </c>
      <c r="J126" s="26">
        <f t="shared" si="75"/>
        <v>40694</v>
      </c>
      <c r="K126" s="26" t="str">
        <f t="shared" si="74"/>
        <v>Não</v>
      </c>
      <c r="L126" s="26">
        <f t="shared" si="76"/>
        <v>40694</v>
      </c>
      <c r="M126" s="26" t="str">
        <f t="shared" ref="M126" si="137">IF(ISNA(VLOOKUP(L126,$A:$A,1,0)),"Não","Sim")</f>
        <v>Não</v>
      </c>
      <c r="N126" s="26">
        <f t="shared" si="78"/>
        <v>40694</v>
      </c>
    </row>
    <row r="127" spans="1:14" x14ac:dyDescent="0.25">
      <c r="A127" s="39">
        <v>40664</v>
      </c>
      <c r="B127" t="s">
        <v>112</v>
      </c>
      <c r="C127" t="s">
        <v>104</v>
      </c>
      <c r="E127" s="26">
        <v>40695</v>
      </c>
      <c r="F127" s="26">
        <f t="shared" si="71"/>
        <v>40724</v>
      </c>
      <c r="G127" s="19">
        <f t="shared" si="72"/>
        <v>4</v>
      </c>
      <c r="H127" s="26">
        <f t="shared" si="73"/>
        <v>40724</v>
      </c>
      <c r="I127" s="26" t="str">
        <f t="shared" si="74"/>
        <v>Não</v>
      </c>
      <c r="J127" s="26">
        <f t="shared" si="75"/>
        <v>40724</v>
      </c>
      <c r="K127" s="26" t="str">
        <f t="shared" si="74"/>
        <v>Não</v>
      </c>
      <c r="L127" s="26">
        <f t="shared" si="76"/>
        <v>40724</v>
      </c>
      <c r="M127" s="26" t="str">
        <f t="shared" ref="M127" si="138">IF(ISNA(VLOOKUP(L127,$A:$A,1,0)),"Não","Sim")</f>
        <v>Não</v>
      </c>
      <c r="N127" s="26">
        <f t="shared" si="78"/>
        <v>40724</v>
      </c>
    </row>
    <row r="128" spans="1:14" x14ac:dyDescent="0.25">
      <c r="A128" s="39">
        <v>40717</v>
      </c>
      <c r="B128" t="s">
        <v>105</v>
      </c>
      <c r="C128" t="s">
        <v>106</v>
      </c>
      <c r="E128" s="26">
        <v>40725</v>
      </c>
      <c r="F128" s="26">
        <f t="shared" si="71"/>
        <v>40755</v>
      </c>
      <c r="G128" s="19">
        <f t="shared" si="72"/>
        <v>7</v>
      </c>
      <c r="H128" s="26">
        <f t="shared" si="73"/>
        <v>40753</v>
      </c>
      <c r="I128" s="26" t="str">
        <f t="shared" si="74"/>
        <v>Não</v>
      </c>
      <c r="J128" s="26">
        <f t="shared" si="75"/>
        <v>40753</v>
      </c>
      <c r="K128" s="26" t="str">
        <f t="shared" si="74"/>
        <v>Não</v>
      </c>
      <c r="L128" s="26">
        <f t="shared" si="76"/>
        <v>40753</v>
      </c>
      <c r="M128" s="26" t="str">
        <f t="shared" ref="M128" si="139">IF(ISNA(VLOOKUP(L128,$A:$A,1,0)),"Não","Sim")</f>
        <v>Não</v>
      </c>
      <c r="N128" s="26">
        <f t="shared" si="78"/>
        <v>40753</v>
      </c>
    </row>
    <row r="129" spans="1:14" x14ac:dyDescent="0.25">
      <c r="A129" s="39">
        <v>40793</v>
      </c>
      <c r="B129" t="s">
        <v>113</v>
      </c>
      <c r="C129" t="s">
        <v>107</v>
      </c>
      <c r="E129" s="26">
        <v>40756</v>
      </c>
      <c r="F129" s="26">
        <f t="shared" si="71"/>
        <v>40786</v>
      </c>
      <c r="G129" s="19">
        <f t="shared" si="72"/>
        <v>3</v>
      </c>
      <c r="H129" s="26">
        <f t="shared" si="73"/>
        <v>40786</v>
      </c>
      <c r="I129" s="26" t="str">
        <f t="shared" si="74"/>
        <v>Não</v>
      </c>
      <c r="J129" s="26">
        <f t="shared" si="75"/>
        <v>40786</v>
      </c>
      <c r="K129" s="26" t="str">
        <f t="shared" si="74"/>
        <v>Não</v>
      </c>
      <c r="L129" s="26">
        <f t="shared" si="76"/>
        <v>40786</v>
      </c>
      <c r="M129" s="26" t="str">
        <f t="shared" ref="M129" si="140">IF(ISNA(VLOOKUP(L129,$A:$A,1,0)),"Não","Sim")</f>
        <v>Não</v>
      </c>
      <c r="N129" s="26">
        <f t="shared" si="78"/>
        <v>40786</v>
      </c>
    </row>
    <row r="130" spans="1:14" x14ac:dyDescent="0.25">
      <c r="A130" s="39">
        <v>40828</v>
      </c>
      <c r="B130" t="s">
        <v>113</v>
      </c>
      <c r="C130" t="s">
        <v>108</v>
      </c>
      <c r="E130" s="26">
        <v>40787</v>
      </c>
      <c r="F130" s="26">
        <f t="shared" si="71"/>
        <v>40816</v>
      </c>
      <c r="G130" s="19">
        <f t="shared" si="72"/>
        <v>5</v>
      </c>
      <c r="H130" s="26">
        <f t="shared" si="73"/>
        <v>40816</v>
      </c>
      <c r="I130" s="26" t="str">
        <f t="shared" si="74"/>
        <v>Não</v>
      </c>
      <c r="J130" s="26">
        <f t="shared" si="75"/>
        <v>40816</v>
      </c>
      <c r="K130" s="26" t="str">
        <f t="shared" si="74"/>
        <v>Não</v>
      </c>
      <c r="L130" s="26">
        <f t="shared" si="76"/>
        <v>40816</v>
      </c>
      <c r="M130" s="26" t="str">
        <f t="shared" ref="M130" si="141">IF(ISNA(VLOOKUP(L130,$A:$A,1,0)),"Não","Sim")</f>
        <v>Não</v>
      </c>
      <c r="N130" s="26">
        <f t="shared" si="78"/>
        <v>40816</v>
      </c>
    </row>
    <row r="131" spans="1:14" x14ac:dyDescent="0.25">
      <c r="A131" s="39">
        <v>40849</v>
      </c>
      <c r="B131" t="s">
        <v>113</v>
      </c>
      <c r="C131" t="s">
        <v>109</v>
      </c>
      <c r="E131" s="26">
        <v>40817</v>
      </c>
      <c r="F131" s="26">
        <f t="shared" ref="F131:F194" si="142">EOMONTH(E131,0)</f>
        <v>40847</v>
      </c>
      <c r="G131" s="19">
        <f t="shared" ref="G131:G194" si="143">WEEKDAY(F131,2)</f>
        <v>1</v>
      </c>
      <c r="H131" s="26">
        <f t="shared" ref="H131:H194" si="144">IF(G131=6,F131-1,IF(G131=7,F131-2,F131))</f>
        <v>40847</v>
      </c>
      <c r="I131" s="26" t="str">
        <f t="shared" ref="I131:K194" si="145">IF(ISNA(VLOOKUP(H131,$A:$A,1,0)),"Não","Sim")</f>
        <v>Não</v>
      </c>
      <c r="J131" s="26">
        <f t="shared" ref="J131:J194" si="146">IF(I131="Não",H131,H131-1)</f>
        <v>40847</v>
      </c>
      <c r="K131" s="26" t="str">
        <f t="shared" si="145"/>
        <v>Não</v>
      </c>
      <c r="L131" s="26">
        <f t="shared" ref="L131:L194" si="147">IF(K131="Não",J131,J131-1)</f>
        <v>40847</v>
      </c>
      <c r="M131" s="26" t="str">
        <f t="shared" ref="M131" si="148">IF(ISNA(VLOOKUP(L131,$A:$A,1,0)),"Não","Sim")</f>
        <v>Não</v>
      </c>
      <c r="N131" s="26">
        <f t="shared" ref="N131:N194" si="149">IF(M131="Não",L131,L131-1)</f>
        <v>40847</v>
      </c>
    </row>
    <row r="132" spans="1:14" x14ac:dyDescent="0.25">
      <c r="A132" s="39">
        <v>40862</v>
      </c>
      <c r="B132" t="s">
        <v>99</v>
      </c>
      <c r="C132" t="s">
        <v>110</v>
      </c>
      <c r="E132" s="26">
        <v>40848</v>
      </c>
      <c r="F132" s="26">
        <f t="shared" si="142"/>
        <v>40877</v>
      </c>
      <c r="G132" s="19">
        <f t="shared" si="143"/>
        <v>3</v>
      </c>
      <c r="H132" s="26">
        <f t="shared" si="144"/>
        <v>40877</v>
      </c>
      <c r="I132" s="26" t="str">
        <f t="shared" si="145"/>
        <v>Não</v>
      </c>
      <c r="J132" s="26">
        <f t="shared" si="146"/>
        <v>40877</v>
      </c>
      <c r="K132" s="26" t="str">
        <f t="shared" si="145"/>
        <v>Não</v>
      </c>
      <c r="L132" s="26">
        <f t="shared" si="147"/>
        <v>40877</v>
      </c>
      <c r="M132" s="26" t="str">
        <f t="shared" ref="M132" si="150">IF(ISNA(VLOOKUP(L132,$A:$A,1,0)),"Não","Sim")</f>
        <v>Não</v>
      </c>
      <c r="N132" s="26">
        <f t="shared" si="149"/>
        <v>40877</v>
      </c>
    </row>
    <row r="133" spans="1:14" x14ac:dyDescent="0.25">
      <c r="A133" s="39">
        <v>40902</v>
      </c>
      <c r="B133" t="s">
        <v>112</v>
      </c>
      <c r="C133" t="s">
        <v>111</v>
      </c>
      <c r="E133" s="26">
        <v>40878</v>
      </c>
      <c r="F133" s="26">
        <f t="shared" si="142"/>
        <v>40908</v>
      </c>
      <c r="G133" s="19">
        <f t="shared" si="143"/>
        <v>6</v>
      </c>
      <c r="H133" s="26">
        <f t="shared" si="144"/>
        <v>40907</v>
      </c>
      <c r="I133" s="26" t="str">
        <f t="shared" si="145"/>
        <v>Não</v>
      </c>
      <c r="J133" s="26">
        <f t="shared" si="146"/>
        <v>40907</v>
      </c>
      <c r="K133" s="26" t="str">
        <f t="shared" si="145"/>
        <v>Não</v>
      </c>
      <c r="L133" s="26">
        <f t="shared" si="147"/>
        <v>40907</v>
      </c>
      <c r="M133" s="26" t="str">
        <f t="shared" ref="M133" si="151">IF(ISNA(VLOOKUP(L133,$A:$A,1,0)),"Não","Sim")</f>
        <v>Não</v>
      </c>
      <c r="N133" s="26">
        <f t="shared" si="149"/>
        <v>40907</v>
      </c>
    </row>
    <row r="134" spans="1:14" x14ac:dyDescent="0.25">
      <c r="A134" s="39">
        <v>40909</v>
      </c>
      <c r="B134" t="s">
        <v>112</v>
      </c>
      <c r="C134" t="s">
        <v>97</v>
      </c>
      <c r="E134" s="26">
        <v>40909</v>
      </c>
      <c r="F134" s="26">
        <f t="shared" si="142"/>
        <v>40939</v>
      </c>
      <c r="G134" s="19">
        <f t="shared" si="143"/>
        <v>2</v>
      </c>
      <c r="H134" s="26">
        <f t="shared" si="144"/>
        <v>40939</v>
      </c>
      <c r="I134" s="26" t="str">
        <f t="shared" si="145"/>
        <v>Não</v>
      </c>
      <c r="J134" s="26">
        <f t="shared" si="146"/>
        <v>40939</v>
      </c>
      <c r="K134" s="26" t="str">
        <f t="shared" si="145"/>
        <v>Não</v>
      </c>
      <c r="L134" s="26">
        <f t="shared" si="147"/>
        <v>40939</v>
      </c>
      <c r="M134" s="26" t="str">
        <f t="shared" ref="M134" si="152">IF(ISNA(VLOOKUP(L134,$A:$A,1,0)),"Não","Sim")</f>
        <v>Não</v>
      </c>
      <c r="N134" s="26">
        <f t="shared" si="149"/>
        <v>40939</v>
      </c>
    </row>
    <row r="135" spans="1:14" x14ac:dyDescent="0.25">
      <c r="A135" s="39">
        <v>40959</v>
      </c>
      <c r="B135" t="s">
        <v>96</v>
      </c>
      <c r="C135" t="s">
        <v>98</v>
      </c>
      <c r="E135" s="26">
        <v>40940</v>
      </c>
      <c r="F135" s="26">
        <f t="shared" si="142"/>
        <v>40968</v>
      </c>
      <c r="G135" s="19">
        <f t="shared" si="143"/>
        <v>3</v>
      </c>
      <c r="H135" s="26">
        <f t="shared" si="144"/>
        <v>40968</v>
      </c>
      <c r="I135" s="26" t="str">
        <f t="shared" si="145"/>
        <v>Não</v>
      </c>
      <c r="J135" s="26">
        <f t="shared" si="146"/>
        <v>40968</v>
      </c>
      <c r="K135" s="26" t="str">
        <f t="shared" si="145"/>
        <v>Não</v>
      </c>
      <c r="L135" s="26">
        <f t="shared" si="147"/>
        <v>40968</v>
      </c>
      <c r="M135" s="26" t="str">
        <f t="shared" ref="M135" si="153">IF(ISNA(VLOOKUP(L135,$A:$A,1,0)),"Não","Sim")</f>
        <v>Não</v>
      </c>
      <c r="N135" s="26">
        <f t="shared" si="149"/>
        <v>40968</v>
      </c>
    </row>
    <row r="136" spans="1:14" x14ac:dyDescent="0.25">
      <c r="A136" s="39">
        <v>40960</v>
      </c>
      <c r="B136" t="s">
        <v>99</v>
      </c>
      <c r="C136" t="s">
        <v>98</v>
      </c>
      <c r="E136" s="26">
        <v>40969</v>
      </c>
      <c r="F136" s="26">
        <f t="shared" si="142"/>
        <v>40999</v>
      </c>
      <c r="G136" s="19">
        <f t="shared" si="143"/>
        <v>6</v>
      </c>
      <c r="H136" s="26">
        <f t="shared" si="144"/>
        <v>40998</v>
      </c>
      <c r="I136" s="26" t="str">
        <f t="shared" si="145"/>
        <v>Não</v>
      </c>
      <c r="J136" s="26">
        <f t="shared" si="146"/>
        <v>40998</v>
      </c>
      <c r="K136" s="26" t="str">
        <f t="shared" si="145"/>
        <v>Não</v>
      </c>
      <c r="L136" s="26">
        <f t="shared" si="147"/>
        <v>40998</v>
      </c>
      <c r="M136" s="26" t="str">
        <f t="shared" ref="M136" si="154">IF(ISNA(VLOOKUP(L136,$A:$A,1,0)),"Não","Sim")</f>
        <v>Não</v>
      </c>
      <c r="N136" s="26">
        <f t="shared" si="149"/>
        <v>40998</v>
      </c>
    </row>
    <row r="137" spans="1:14" x14ac:dyDescent="0.25">
      <c r="A137" s="39">
        <v>41005</v>
      </c>
      <c r="B137" t="s">
        <v>100</v>
      </c>
      <c r="C137" t="s">
        <v>101</v>
      </c>
      <c r="E137" s="26">
        <v>41000</v>
      </c>
      <c r="F137" s="26">
        <f t="shared" si="142"/>
        <v>41029</v>
      </c>
      <c r="G137" s="19">
        <f t="shared" si="143"/>
        <v>1</v>
      </c>
      <c r="H137" s="26">
        <f t="shared" si="144"/>
        <v>41029</v>
      </c>
      <c r="I137" s="26" t="str">
        <f t="shared" si="145"/>
        <v>Não</v>
      </c>
      <c r="J137" s="26">
        <f t="shared" si="146"/>
        <v>41029</v>
      </c>
      <c r="K137" s="26" t="str">
        <f t="shared" si="145"/>
        <v>Não</v>
      </c>
      <c r="L137" s="26">
        <f t="shared" si="147"/>
        <v>41029</v>
      </c>
      <c r="M137" s="26" t="str">
        <f t="shared" ref="M137" si="155">IF(ISNA(VLOOKUP(L137,$A:$A,1,0)),"Não","Sim")</f>
        <v>Não</v>
      </c>
      <c r="N137" s="26">
        <f t="shared" si="149"/>
        <v>41029</v>
      </c>
    </row>
    <row r="138" spans="1:14" x14ac:dyDescent="0.25">
      <c r="A138" s="39">
        <v>41020</v>
      </c>
      <c r="B138" t="s">
        <v>102</v>
      </c>
      <c r="C138" t="s">
        <v>103</v>
      </c>
      <c r="E138" s="26">
        <v>41030</v>
      </c>
      <c r="F138" s="26">
        <f t="shared" si="142"/>
        <v>41060</v>
      </c>
      <c r="G138" s="19">
        <f t="shared" si="143"/>
        <v>4</v>
      </c>
      <c r="H138" s="26">
        <f t="shared" si="144"/>
        <v>41060</v>
      </c>
      <c r="I138" s="26" t="str">
        <f t="shared" si="145"/>
        <v>Não</v>
      </c>
      <c r="J138" s="26">
        <f t="shared" si="146"/>
        <v>41060</v>
      </c>
      <c r="K138" s="26" t="str">
        <f t="shared" si="145"/>
        <v>Não</v>
      </c>
      <c r="L138" s="26">
        <f t="shared" si="147"/>
        <v>41060</v>
      </c>
      <c r="M138" s="26" t="str">
        <f t="shared" ref="M138" si="156">IF(ISNA(VLOOKUP(L138,$A:$A,1,0)),"Não","Sim")</f>
        <v>Não</v>
      </c>
      <c r="N138" s="26">
        <f t="shared" si="149"/>
        <v>41060</v>
      </c>
    </row>
    <row r="139" spans="1:14" x14ac:dyDescent="0.25">
      <c r="A139" s="39">
        <v>41030</v>
      </c>
      <c r="B139" t="s">
        <v>99</v>
      </c>
      <c r="C139" t="s">
        <v>104</v>
      </c>
      <c r="E139" s="26">
        <v>41061</v>
      </c>
      <c r="F139" s="26">
        <f t="shared" si="142"/>
        <v>41090</v>
      </c>
      <c r="G139" s="19">
        <f t="shared" si="143"/>
        <v>6</v>
      </c>
      <c r="H139" s="26">
        <f t="shared" si="144"/>
        <v>41089</v>
      </c>
      <c r="I139" s="26" t="str">
        <f t="shared" si="145"/>
        <v>Não</v>
      </c>
      <c r="J139" s="26">
        <f t="shared" si="146"/>
        <v>41089</v>
      </c>
      <c r="K139" s="26" t="str">
        <f t="shared" si="145"/>
        <v>Não</v>
      </c>
      <c r="L139" s="26">
        <f t="shared" si="147"/>
        <v>41089</v>
      </c>
      <c r="M139" s="26" t="str">
        <f t="shared" ref="M139" si="157">IF(ISNA(VLOOKUP(L139,$A:$A,1,0)),"Não","Sim")</f>
        <v>Não</v>
      </c>
      <c r="N139" s="26">
        <f t="shared" si="149"/>
        <v>41089</v>
      </c>
    </row>
    <row r="140" spans="1:14" x14ac:dyDescent="0.25">
      <c r="A140" s="39">
        <v>41067</v>
      </c>
      <c r="B140" t="s">
        <v>105</v>
      </c>
      <c r="C140" t="s">
        <v>106</v>
      </c>
      <c r="E140" s="26">
        <v>41091</v>
      </c>
      <c r="F140" s="26">
        <f t="shared" si="142"/>
        <v>41121</v>
      </c>
      <c r="G140" s="19">
        <f t="shared" si="143"/>
        <v>2</v>
      </c>
      <c r="H140" s="26">
        <f t="shared" si="144"/>
        <v>41121</v>
      </c>
      <c r="I140" s="26" t="str">
        <f t="shared" si="145"/>
        <v>Não</v>
      </c>
      <c r="J140" s="26">
        <f t="shared" si="146"/>
        <v>41121</v>
      </c>
      <c r="K140" s="26" t="str">
        <f t="shared" si="145"/>
        <v>Não</v>
      </c>
      <c r="L140" s="26">
        <f t="shared" si="147"/>
        <v>41121</v>
      </c>
      <c r="M140" s="26" t="str">
        <f t="shared" ref="M140" si="158">IF(ISNA(VLOOKUP(L140,$A:$A,1,0)),"Não","Sim")</f>
        <v>Não</v>
      </c>
      <c r="N140" s="26">
        <f t="shared" si="149"/>
        <v>41121</v>
      </c>
    </row>
    <row r="141" spans="1:14" x14ac:dyDescent="0.25">
      <c r="A141" s="39">
        <v>41159</v>
      </c>
      <c r="B141" t="s">
        <v>100</v>
      </c>
      <c r="C141" t="s">
        <v>107</v>
      </c>
      <c r="E141" s="26">
        <v>41122</v>
      </c>
      <c r="F141" s="26">
        <f t="shared" si="142"/>
        <v>41152</v>
      </c>
      <c r="G141" s="19">
        <f t="shared" si="143"/>
        <v>5</v>
      </c>
      <c r="H141" s="26">
        <f t="shared" si="144"/>
        <v>41152</v>
      </c>
      <c r="I141" s="26" t="str">
        <f t="shared" si="145"/>
        <v>Não</v>
      </c>
      <c r="J141" s="26">
        <f t="shared" si="146"/>
        <v>41152</v>
      </c>
      <c r="K141" s="26" t="str">
        <f t="shared" si="145"/>
        <v>Não</v>
      </c>
      <c r="L141" s="26">
        <f t="shared" si="147"/>
        <v>41152</v>
      </c>
      <c r="M141" s="26" t="str">
        <f t="shared" ref="M141" si="159">IF(ISNA(VLOOKUP(L141,$A:$A,1,0)),"Não","Sim")</f>
        <v>Não</v>
      </c>
      <c r="N141" s="26">
        <f t="shared" si="149"/>
        <v>41152</v>
      </c>
    </row>
    <row r="142" spans="1:14" x14ac:dyDescent="0.25">
      <c r="A142" s="39">
        <v>41194</v>
      </c>
      <c r="B142" t="s">
        <v>100</v>
      </c>
      <c r="C142" t="s">
        <v>108</v>
      </c>
      <c r="E142" s="26">
        <v>41153</v>
      </c>
      <c r="F142" s="26">
        <f t="shared" si="142"/>
        <v>41182</v>
      </c>
      <c r="G142" s="19">
        <f t="shared" si="143"/>
        <v>7</v>
      </c>
      <c r="H142" s="26">
        <f t="shared" si="144"/>
        <v>41180</v>
      </c>
      <c r="I142" s="26" t="str">
        <f t="shared" si="145"/>
        <v>Não</v>
      </c>
      <c r="J142" s="26">
        <f t="shared" si="146"/>
        <v>41180</v>
      </c>
      <c r="K142" s="26" t="str">
        <f t="shared" si="145"/>
        <v>Não</v>
      </c>
      <c r="L142" s="26">
        <f t="shared" si="147"/>
        <v>41180</v>
      </c>
      <c r="M142" s="26" t="str">
        <f t="shared" ref="M142" si="160">IF(ISNA(VLOOKUP(L142,$A:$A,1,0)),"Não","Sim")</f>
        <v>Não</v>
      </c>
      <c r="N142" s="26">
        <f t="shared" si="149"/>
        <v>41180</v>
      </c>
    </row>
    <row r="143" spans="1:14" x14ac:dyDescent="0.25">
      <c r="A143" s="39">
        <v>41215</v>
      </c>
      <c r="B143" t="s">
        <v>100</v>
      </c>
      <c r="C143" t="s">
        <v>109</v>
      </c>
      <c r="E143" s="26">
        <v>41183</v>
      </c>
      <c r="F143" s="26">
        <f t="shared" si="142"/>
        <v>41213</v>
      </c>
      <c r="G143" s="19">
        <f t="shared" si="143"/>
        <v>3</v>
      </c>
      <c r="H143" s="26">
        <f t="shared" si="144"/>
        <v>41213</v>
      </c>
      <c r="I143" s="26" t="str">
        <f t="shared" si="145"/>
        <v>Não</v>
      </c>
      <c r="J143" s="26">
        <f t="shared" si="146"/>
        <v>41213</v>
      </c>
      <c r="K143" s="26" t="str">
        <f t="shared" si="145"/>
        <v>Não</v>
      </c>
      <c r="L143" s="26">
        <f t="shared" si="147"/>
        <v>41213</v>
      </c>
      <c r="M143" s="26" t="str">
        <f t="shared" ref="M143" si="161">IF(ISNA(VLOOKUP(L143,$A:$A,1,0)),"Não","Sim")</f>
        <v>Não</v>
      </c>
      <c r="N143" s="26">
        <f t="shared" si="149"/>
        <v>41213</v>
      </c>
    </row>
    <row r="144" spans="1:14" x14ac:dyDescent="0.25">
      <c r="A144" s="39">
        <v>41228</v>
      </c>
      <c r="B144" t="s">
        <v>105</v>
      </c>
      <c r="C144" t="s">
        <v>110</v>
      </c>
      <c r="E144" s="26">
        <v>41214</v>
      </c>
      <c r="F144" s="26">
        <f t="shared" si="142"/>
        <v>41243</v>
      </c>
      <c r="G144" s="19">
        <f t="shared" si="143"/>
        <v>5</v>
      </c>
      <c r="H144" s="26">
        <f t="shared" si="144"/>
        <v>41243</v>
      </c>
      <c r="I144" s="26" t="str">
        <f t="shared" si="145"/>
        <v>Não</v>
      </c>
      <c r="J144" s="26">
        <f t="shared" si="146"/>
        <v>41243</v>
      </c>
      <c r="K144" s="26" t="str">
        <f t="shared" si="145"/>
        <v>Não</v>
      </c>
      <c r="L144" s="26">
        <f t="shared" si="147"/>
        <v>41243</v>
      </c>
      <c r="M144" s="26" t="str">
        <f t="shared" ref="M144" si="162">IF(ISNA(VLOOKUP(L144,$A:$A,1,0)),"Não","Sim")</f>
        <v>Não</v>
      </c>
      <c r="N144" s="26">
        <f t="shared" si="149"/>
        <v>41243</v>
      </c>
    </row>
    <row r="145" spans="1:14" x14ac:dyDescent="0.25">
      <c r="A145" s="39">
        <v>41268</v>
      </c>
      <c r="B145" t="s">
        <v>99</v>
      </c>
      <c r="C145" t="s">
        <v>111</v>
      </c>
      <c r="E145" s="26">
        <v>41244</v>
      </c>
      <c r="F145" s="26">
        <f t="shared" si="142"/>
        <v>41274</v>
      </c>
      <c r="G145" s="19">
        <f t="shared" si="143"/>
        <v>1</v>
      </c>
      <c r="H145" s="26">
        <f t="shared" si="144"/>
        <v>41274</v>
      </c>
      <c r="I145" s="26" t="str">
        <f t="shared" si="145"/>
        <v>Não</v>
      </c>
      <c r="J145" s="26">
        <f t="shared" si="146"/>
        <v>41274</v>
      </c>
      <c r="K145" s="26" t="str">
        <f t="shared" si="145"/>
        <v>Não</v>
      </c>
      <c r="L145" s="26">
        <f t="shared" si="147"/>
        <v>41274</v>
      </c>
      <c r="M145" s="26" t="str">
        <f t="shared" ref="M145" si="163">IF(ISNA(VLOOKUP(L145,$A:$A,1,0)),"Não","Sim")</f>
        <v>Não</v>
      </c>
      <c r="N145" s="26">
        <f t="shared" si="149"/>
        <v>41274</v>
      </c>
    </row>
    <row r="146" spans="1:14" x14ac:dyDescent="0.25">
      <c r="A146" s="39">
        <v>41275</v>
      </c>
      <c r="B146" t="s">
        <v>99</v>
      </c>
      <c r="C146" t="s">
        <v>97</v>
      </c>
      <c r="E146" s="26">
        <v>41275</v>
      </c>
      <c r="F146" s="26">
        <f t="shared" si="142"/>
        <v>41305</v>
      </c>
      <c r="G146" s="19">
        <f t="shared" si="143"/>
        <v>4</v>
      </c>
      <c r="H146" s="26">
        <f t="shared" si="144"/>
        <v>41305</v>
      </c>
      <c r="I146" s="26" t="str">
        <f t="shared" si="145"/>
        <v>Não</v>
      </c>
      <c r="J146" s="26">
        <f t="shared" si="146"/>
        <v>41305</v>
      </c>
      <c r="K146" s="26" t="str">
        <f t="shared" si="145"/>
        <v>Não</v>
      </c>
      <c r="L146" s="26">
        <f t="shared" si="147"/>
        <v>41305</v>
      </c>
      <c r="M146" s="26" t="str">
        <f t="shared" ref="M146" si="164">IF(ISNA(VLOOKUP(L146,$A:$A,1,0)),"Não","Sim")</f>
        <v>Não</v>
      </c>
      <c r="N146" s="26">
        <f t="shared" si="149"/>
        <v>41305</v>
      </c>
    </row>
    <row r="147" spans="1:14" x14ac:dyDescent="0.25">
      <c r="A147" s="39">
        <v>41316</v>
      </c>
      <c r="B147" t="s">
        <v>96</v>
      </c>
      <c r="C147" t="s">
        <v>98</v>
      </c>
      <c r="E147" s="26">
        <v>41306</v>
      </c>
      <c r="F147" s="26">
        <f t="shared" si="142"/>
        <v>41333</v>
      </c>
      <c r="G147" s="19">
        <f t="shared" si="143"/>
        <v>4</v>
      </c>
      <c r="H147" s="26">
        <f t="shared" si="144"/>
        <v>41333</v>
      </c>
      <c r="I147" s="26" t="str">
        <f t="shared" si="145"/>
        <v>Não</v>
      </c>
      <c r="J147" s="26">
        <f t="shared" si="146"/>
        <v>41333</v>
      </c>
      <c r="K147" s="26" t="str">
        <f t="shared" si="145"/>
        <v>Não</v>
      </c>
      <c r="L147" s="26">
        <f t="shared" si="147"/>
        <v>41333</v>
      </c>
      <c r="M147" s="26" t="str">
        <f t="shared" ref="M147" si="165">IF(ISNA(VLOOKUP(L147,$A:$A,1,0)),"Não","Sim")</f>
        <v>Não</v>
      </c>
      <c r="N147" s="26">
        <f t="shared" si="149"/>
        <v>41333</v>
      </c>
    </row>
    <row r="148" spans="1:14" x14ac:dyDescent="0.25">
      <c r="A148" s="39">
        <v>41317</v>
      </c>
      <c r="B148" t="s">
        <v>99</v>
      </c>
      <c r="C148" t="s">
        <v>98</v>
      </c>
      <c r="E148" s="26">
        <v>41334</v>
      </c>
      <c r="F148" s="26">
        <f t="shared" si="142"/>
        <v>41364</v>
      </c>
      <c r="G148" s="19">
        <f t="shared" si="143"/>
        <v>7</v>
      </c>
      <c r="H148" s="26">
        <f t="shared" si="144"/>
        <v>41362</v>
      </c>
      <c r="I148" s="26" t="str">
        <f t="shared" si="145"/>
        <v>Sim</v>
      </c>
      <c r="J148" s="26">
        <f t="shared" si="146"/>
        <v>41361</v>
      </c>
      <c r="K148" s="26" t="str">
        <f t="shared" si="145"/>
        <v>Não</v>
      </c>
      <c r="L148" s="26">
        <f t="shared" si="147"/>
        <v>41361</v>
      </c>
      <c r="M148" s="26" t="str">
        <f t="shared" ref="M148" si="166">IF(ISNA(VLOOKUP(L148,$A:$A,1,0)),"Não","Sim")</f>
        <v>Não</v>
      </c>
      <c r="N148" s="26">
        <f t="shared" si="149"/>
        <v>41361</v>
      </c>
    </row>
    <row r="149" spans="1:14" x14ac:dyDescent="0.25">
      <c r="A149" s="39">
        <v>41362</v>
      </c>
      <c r="B149" t="s">
        <v>100</v>
      </c>
      <c r="C149" t="s">
        <v>101</v>
      </c>
      <c r="E149" s="26">
        <v>41365</v>
      </c>
      <c r="F149" s="26">
        <f t="shared" si="142"/>
        <v>41394</v>
      </c>
      <c r="G149" s="19">
        <f t="shared" si="143"/>
        <v>2</v>
      </c>
      <c r="H149" s="26">
        <f t="shared" si="144"/>
        <v>41394</v>
      </c>
      <c r="I149" s="26" t="str">
        <f t="shared" si="145"/>
        <v>Não</v>
      </c>
      <c r="J149" s="26">
        <f t="shared" si="146"/>
        <v>41394</v>
      </c>
      <c r="K149" s="26" t="str">
        <f t="shared" si="145"/>
        <v>Não</v>
      </c>
      <c r="L149" s="26">
        <f t="shared" si="147"/>
        <v>41394</v>
      </c>
      <c r="M149" s="26" t="str">
        <f t="shared" ref="M149" si="167">IF(ISNA(VLOOKUP(L149,$A:$A,1,0)),"Não","Sim")</f>
        <v>Não</v>
      </c>
      <c r="N149" s="26">
        <f t="shared" si="149"/>
        <v>41394</v>
      </c>
    </row>
    <row r="150" spans="1:14" x14ac:dyDescent="0.25">
      <c r="A150" s="39">
        <v>41385</v>
      </c>
      <c r="B150" t="s">
        <v>112</v>
      </c>
      <c r="C150" t="s">
        <v>103</v>
      </c>
      <c r="E150" s="26">
        <v>41395</v>
      </c>
      <c r="F150" s="26">
        <f t="shared" si="142"/>
        <v>41425</v>
      </c>
      <c r="G150" s="19">
        <f t="shared" si="143"/>
        <v>5</v>
      </c>
      <c r="H150" s="26">
        <f t="shared" si="144"/>
        <v>41425</v>
      </c>
      <c r="I150" s="26" t="str">
        <f t="shared" si="145"/>
        <v>Não</v>
      </c>
      <c r="J150" s="26">
        <f t="shared" si="146"/>
        <v>41425</v>
      </c>
      <c r="K150" s="26" t="str">
        <f t="shared" si="145"/>
        <v>Não</v>
      </c>
      <c r="L150" s="26">
        <f t="shared" si="147"/>
        <v>41425</v>
      </c>
      <c r="M150" s="26" t="str">
        <f t="shared" ref="M150" si="168">IF(ISNA(VLOOKUP(L150,$A:$A,1,0)),"Não","Sim")</f>
        <v>Não</v>
      </c>
      <c r="N150" s="26">
        <f t="shared" si="149"/>
        <v>41425</v>
      </c>
    </row>
    <row r="151" spans="1:14" x14ac:dyDescent="0.25">
      <c r="A151" s="39">
        <v>41395</v>
      </c>
      <c r="B151" t="s">
        <v>113</v>
      </c>
      <c r="C151" t="s">
        <v>104</v>
      </c>
      <c r="E151" s="26">
        <v>41426</v>
      </c>
      <c r="F151" s="26">
        <f t="shared" si="142"/>
        <v>41455</v>
      </c>
      <c r="G151" s="19">
        <f t="shared" si="143"/>
        <v>7</v>
      </c>
      <c r="H151" s="26">
        <f t="shared" si="144"/>
        <v>41453</v>
      </c>
      <c r="I151" s="26" t="str">
        <f t="shared" si="145"/>
        <v>Não</v>
      </c>
      <c r="J151" s="26">
        <f t="shared" si="146"/>
        <v>41453</v>
      </c>
      <c r="K151" s="26" t="str">
        <f t="shared" si="145"/>
        <v>Não</v>
      </c>
      <c r="L151" s="26">
        <f t="shared" si="147"/>
        <v>41453</v>
      </c>
      <c r="M151" s="26" t="str">
        <f t="shared" ref="M151" si="169">IF(ISNA(VLOOKUP(L151,$A:$A,1,0)),"Não","Sim")</f>
        <v>Não</v>
      </c>
      <c r="N151" s="26">
        <f t="shared" si="149"/>
        <v>41453</v>
      </c>
    </row>
    <row r="152" spans="1:14" x14ac:dyDescent="0.25">
      <c r="A152" s="39">
        <v>41424</v>
      </c>
      <c r="B152" t="s">
        <v>105</v>
      </c>
      <c r="C152" t="s">
        <v>106</v>
      </c>
      <c r="E152" s="26">
        <v>41456</v>
      </c>
      <c r="F152" s="26">
        <f t="shared" si="142"/>
        <v>41486</v>
      </c>
      <c r="G152" s="19">
        <f t="shared" si="143"/>
        <v>3</v>
      </c>
      <c r="H152" s="26">
        <f t="shared" si="144"/>
        <v>41486</v>
      </c>
      <c r="I152" s="26" t="str">
        <f t="shared" si="145"/>
        <v>Não</v>
      </c>
      <c r="J152" s="26">
        <f t="shared" si="146"/>
        <v>41486</v>
      </c>
      <c r="K152" s="26" t="str">
        <f t="shared" si="145"/>
        <v>Não</v>
      </c>
      <c r="L152" s="26">
        <f t="shared" si="147"/>
        <v>41486</v>
      </c>
      <c r="M152" s="26" t="str">
        <f t="shared" ref="M152" si="170">IF(ISNA(VLOOKUP(L152,$A:$A,1,0)),"Não","Sim")</f>
        <v>Não</v>
      </c>
      <c r="N152" s="26">
        <f t="shared" si="149"/>
        <v>41486</v>
      </c>
    </row>
    <row r="153" spans="1:14" x14ac:dyDescent="0.25">
      <c r="A153" s="39">
        <v>41524</v>
      </c>
      <c r="B153" t="s">
        <v>102</v>
      </c>
      <c r="C153" t="s">
        <v>107</v>
      </c>
      <c r="E153" s="26">
        <v>41487</v>
      </c>
      <c r="F153" s="26">
        <f t="shared" si="142"/>
        <v>41517</v>
      </c>
      <c r="G153" s="19">
        <f t="shared" si="143"/>
        <v>6</v>
      </c>
      <c r="H153" s="26">
        <f t="shared" si="144"/>
        <v>41516</v>
      </c>
      <c r="I153" s="26" t="str">
        <f t="shared" si="145"/>
        <v>Não</v>
      </c>
      <c r="J153" s="26">
        <f t="shared" si="146"/>
        <v>41516</v>
      </c>
      <c r="K153" s="26" t="str">
        <f t="shared" si="145"/>
        <v>Não</v>
      </c>
      <c r="L153" s="26">
        <f t="shared" si="147"/>
        <v>41516</v>
      </c>
      <c r="M153" s="26" t="str">
        <f t="shared" ref="M153" si="171">IF(ISNA(VLOOKUP(L153,$A:$A,1,0)),"Não","Sim")</f>
        <v>Não</v>
      </c>
      <c r="N153" s="26">
        <f t="shared" si="149"/>
        <v>41516</v>
      </c>
    </row>
    <row r="154" spans="1:14" x14ac:dyDescent="0.25">
      <c r="A154" s="39">
        <v>41559</v>
      </c>
      <c r="B154" t="s">
        <v>102</v>
      </c>
      <c r="C154" t="s">
        <v>108</v>
      </c>
      <c r="E154" s="26">
        <v>41518</v>
      </c>
      <c r="F154" s="26">
        <f t="shared" si="142"/>
        <v>41547</v>
      </c>
      <c r="G154" s="19">
        <f t="shared" si="143"/>
        <v>1</v>
      </c>
      <c r="H154" s="26">
        <f t="shared" si="144"/>
        <v>41547</v>
      </c>
      <c r="I154" s="26" t="str">
        <f t="shared" si="145"/>
        <v>Não</v>
      </c>
      <c r="J154" s="26">
        <f t="shared" si="146"/>
        <v>41547</v>
      </c>
      <c r="K154" s="26" t="str">
        <f t="shared" si="145"/>
        <v>Não</v>
      </c>
      <c r="L154" s="26">
        <f t="shared" si="147"/>
        <v>41547</v>
      </c>
      <c r="M154" s="26" t="str">
        <f t="shared" ref="M154" si="172">IF(ISNA(VLOOKUP(L154,$A:$A,1,0)),"Não","Sim")</f>
        <v>Não</v>
      </c>
      <c r="N154" s="26">
        <f t="shared" si="149"/>
        <v>41547</v>
      </c>
    </row>
    <row r="155" spans="1:14" x14ac:dyDescent="0.25">
      <c r="A155" s="39">
        <v>41580</v>
      </c>
      <c r="B155" t="s">
        <v>102</v>
      </c>
      <c r="C155" t="s">
        <v>109</v>
      </c>
      <c r="E155" s="26">
        <v>41548</v>
      </c>
      <c r="F155" s="26">
        <f t="shared" si="142"/>
        <v>41578</v>
      </c>
      <c r="G155" s="19">
        <f t="shared" si="143"/>
        <v>4</v>
      </c>
      <c r="H155" s="26">
        <f t="shared" si="144"/>
        <v>41578</v>
      </c>
      <c r="I155" s="26" t="str">
        <f t="shared" si="145"/>
        <v>Não</v>
      </c>
      <c r="J155" s="26">
        <f t="shared" si="146"/>
        <v>41578</v>
      </c>
      <c r="K155" s="26" t="str">
        <f t="shared" si="145"/>
        <v>Não</v>
      </c>
      <c r="L155" s="26">
        <f t="shared" si="147"/>
        <v>41578</v>
      </c>
      <c r="M155" s="26" t="str">
        <f t="shared" ref="M155" si="173">IF(ISNA(VLOOKUP(L155,$A:$A,1,0)),"Não","Sim")</f>
        <v>Não</v>
      </c>
      <c r="N155" s="26">
        <f t="shared" si="149"/>
        <v>41578</v>
      </c>
    </row>
    <row r="156" spans="1:14" x14ac:dyDescent="0.25">
      <c r="A156" s="39">
        <v>41593</v>
      </c>
      <c r="B156" t="s">
        <v>100</v>
      </c>
      <c r="C156" t="s">
        <v>110</v>
      </c>
      <c r="E156" s="26">
        <v>41579</v>
      </c>
      <c r="F156" s="26">
        <f t="shared" si="142"/>
        <v>41608</v>
      </c>
      <c r="G156" s="19">
        <f t="shared" si="143"/>
        <v>6</v>
      </c>
      <c r="H156" s="26">
        <f t="shared" si="144"/>
        <v>41607</v>
      </c>
      <c r="I156" s="26" t="str">
        <f t="shared" si="145"/>
        <v>Não</v>
      </c>
      <c r="J156" s="26">
        <f t="shared" si="146"/>
        <v>41607</v>
      </c>
      <c r="K156" s="26" t="str">
        <f t="shared" si="145"/>
        <v>Não</v>
      </c>
      <c r="L156" s="26">
        <f t="shared" si="147"/>
        <v>41607</v>
      </c>
      <c r="M156" s="26" t="str">
        <f t="shared" ref="M156" si="174">IF(ISNA(VLOOKUP(L156,$A:$A,1,0)),"Não","Sim")</f>
        <v>Não</v>
      </c>
      <c r="N156" s="26">
        <f t="shared" si="149"/>
        <v>41607</v>
      </c>
    </row>
    <row r="157" spans="1:14" x14ac:dyDescent="0.25">
      <c r="A157" s="39">
        <v>41633</v>
      </c>
      <c r="B157" t="s">
        <v>113</v>
      </c>
      <c r="C157" t="s">
        <v>111</v>
      </c>
      <c r="E157" s="26">
        <v>41609</v>
      </c>
      <c r="F157" s="26">
        <f t="shared" si="142"/>
        <v>41639</v>
      </c>
      <c r="G157" s="19">
        <f t="shared" si="143"/>
        <v>2</v>
      </c>
      <c r="H157" s="26">
        <f t="shared" si="144"/>
        <v>41639</v>
      </c>
      <c r="I157" s="26" t="str">
        <f t="shared" si="145"/>
        <v>Não</v>
      </c>
      <c r="J157" s="26">
        <f t="shared" si="146"/>
        <v>41639</v>
      </c>
      <c r="K157" s="26" t="str">
        <f t="shared" si="145"/>
        <v>Não</v>
      </c>
      <c r="L157" s="26">
        <f t="shared" si="147"/>
        <v>41639</v>
      </c>
      <c r="M157" s="26" t="str">
        <f t="shared" ref="M157" si="175">IF(ISNA(VLOOKUP(L157,$A:$A,1,0)),"Não","Sim")</f>
        <v>Não</v>
      </c>
      <c r="N157" s="26">
        <f t="shared" si="149"/>
        <v>41639</v>
      </c>
    </row>
    <row r="158" spans="1:14" x14ac:dyDescent="0.25">
      <c r="A158" s="39">
        <v>41640</v>
      </c>
      <c r="B158" t="s">
        <v>113</v>
      </c>
      <c r="C158" t="s">
        <v>97</v>
      </c>
      <c r="E158" s="26">
        <v>41640</v>
      </c>
      <c r="F158" s="26">
        <f t="shared" si="142"/>
        <v>41670</v>
      </c>
      <c r="G158" s="19">
        <f t="shared" si="143"/>
        <v>5</v>
      </c>
      <c r="H158" s="26">
        <f t="shared" si="144"/>
        <v>41670</v>
      </c>
      <c r="I158" s="26" t="str">
        <f t="shared" si="145"/>
        <v>Não</v>
      </c>
      <c r="J158" s="26">
        <f t="shared" si="146"/>
        <v>41670</v>
      </c>
      <c r="K158" s="26" t="str">
        <f t="shared" si="145"/>
        <v>Não</v>
      </c>
      <c r="L158" s="26">
        <f t="shared" si="147"/>
        <v>41670</v>
      </c>
      <c r="M158" s="26" t="str">
        <f t="shared" ref="M158" si="176">IF(ISNA(VLOOKUP(L158,$A:$A,1,0)),"Não","Sim")</f>
        <v>Não</v>
      </c>
      <c r="N158" s="26">
        <f t="shared" si="149"/>
        <v>41670</v>
      </c>
    </row>
    <row r="159" spans="1:14" x14ac:dyDescent="0.25">
      <c r="A159" s="39">
        <v>41701</v>
      </c>
      <c r="B159" t="s">
        <v>96</v>
      </c>
      <c r="C159" t="s">
        <v>98</v>
      </c>
      <c r="E159" s="26">
        <v>41671</v>
      </c>
      <c r="F159" s="26">
        <f t="shared" si="142"/>
        <v>41698</v>
      </c>
      <c r="G159" s="19">
        <f t="shared" si="143"/>
        <v>5</v>
      </c>
      <c r="H159" s="26">
        <f t="shared" si="144"/>
        <v>41698</v>
      </c>
      <c r="I159" s="26" t="str">
        <f t="shared" si="145"/>
        <v>Não</v>
      </c>
      <c r="J159" s="26">
        <f t="shared" si="146"/>
        <v>41698</v>
      </c>
      <c r="K159" s="26" t="str">
        <f t="shared" si="145"/>
        <v>Não</v>
      </c>
      <c r="L159" s="26">
        <f t="shared" si="147"/>
        <v>41698</v>
      </c>
      <c r="M159" s="26" t="str">
        <f t="shared" ref="M159" si="177">IF(ISNA(VLOOKUP(L159,$A:$A,1,0)),"Não","Sim")</f>
        <v>Não</v>
      </c>
      <c r="N159" s="26">
        <f t="shared" si="149"/>
        <v>41698</v>
      </c>
    </row>
    <row r="160" spans="1:14" x14ac:dyDescent="0.25">
      <c r="A160" s="39">
        <v>41702</v>
      </c>
      <c r="B160" t="s">
        <v>99</v>
      </c>
      <c r="C160" t="s">
        <v>98</v>
      </c>
      <c r="E160" s="26">
        <v>41699</v>
      </c>
      <c r="F160" s="26">
        <f t="shared" si="142"/>
        <v>41729</v>
      </c>
      <c r="G160" s="19">
        <f t="shared" si="143"/>
        <v>1</v>
      </c>
      <c r="H160" s="26">
        <f t="shared" si="144"/>
        <v>41729</v>
      </c>
      <c r="I160" s="26" t="str">
        <f t="shared" si="145"/>
        <v>Não</v>
      </c>
      <c r="J160" s="26">
        <f t="shared" si="146"/>
        <v>41729</v>
      </c>
      <c r="K160" s="26" t="str">
        <f t="shared" si="145"/>
        <v>Não</v>
      </c>
      <c r="L160" s="26">
        <f t="shared" si="147"/>
        <v>41729</v>
      </c>
      <c r="M160" s="26" t="str">
        <f t="shared" ref="M160" si="178">IF(ISNA(VLOOKUP(L160,$A:$A,1,0)),"Não","Sim")</f>
        <v>Não</v>
      </c>
      <c r="N160" s="26">
        <f t="shared" si="149"/>
        <v>41729</v>
      </c>
    </row>
    <row r="161" spans="1:14" x14ac:dyDescent="0.25">
      <c r="A161" s="39">
        <v>41747</v>
      </c>
      <c r="B161" t="s">
        <v>100</v>
      </c>
      <c r="C161" t="s">
        <v>101</v>
      </c>
      <c r="E161" s="26">
        <v>41730</v>
      </c>
      <c r="F161" s="26">
        <f t="shared" si="142"/>
        <v>41759</v>
      </c>
      <c r="G161" s="19">
        <f t="shared" si="143"/>
        <v>3</v>
      </c>
      <c r="H161" s="26">
        <f t="shared" si="144"/>
        <v>41759</v>
      </c>
      <c r="I161" s="26" t="str">
        <f t="shared" si="145"/>
        <v>Não</v>
      </c>
      <c r="J161" s="26">
        <f t="shared" si="146"/>
        <v>41759</v>
      </c>
      <c r="K161" s="26" t="str">
        <f t="shared" si="145"/>
        <v>Não</v>
      </c>
      <c r="L161" s="26">
        <f t="shared" si="147"/>
        <v>41759</v>
      </c>
      <c r="M161" s="26" t="str">
        <f t="shared" ref="M161" si="179">IF(ISNA(VLOOKUP(L161,$A:$A,1,0)),"Não","Sim")</f>
        <v>Não</v>
      </c>
      <c r="N161" s="26">
        <f t="shared" si="149"/>
        <v>41759</v>
      </c>
    </row>
    <row r="162" spans="1:14" x14ac:dyDescent="0.25">
      <c r="A162" s="39">
        <v>41750</v>
      </c>
      <c r="B162" t="s">
        <v>96</v>
      </c>
      <c r="C162" t="s">
        <v>103</v>
      </c>
      <c r="E162" s="26">
        <v>41760</v>
      </c>
      <c r="F162" s="26">
        <f t="shared" si="142"/>
        <v>41790</v>
      </c>
      <c r="G162" s="19">
        <f t="shared" si="143"/>
        <v>6</v>
      </c>
      <c r="H162" s="26">
        <f t="shared" si="144"/>
        <v>41789</v>
      </c>
      <c r="I162" s="26" t="str">
        <f t="shared" si="145"/>
        <v>Não</v>
      </c>
      <c r="J162" s="26">
        <f t="shared" si="146"/>
        <v>41789</v>
      </c>
      <c r="K162" s="26" t="str">
        <f t="shared" si="145"/>
        <v>Não</v>
      </c>
      <c r="L162" s="26">
        <f t="shared" si="147"/>
        <v>41789</v>
      </c>
      <c r="M162" s="26" t="str">
        <f t="shared" ref="M162" si="180">IF(ISNA(VLOOKUP(L162,$A:$A,1,0)),"Não","Sim")</f>
        <v>Não</v>
      </c>
      <c r="N162" s="26">
        <f t="shared" si="149"/>
        <v>41789</v>
      </c>
    </row>
    <row r="163" spans="1:14" x14ac:dyDescent="0.25">
      <c r="A163" s="39">
        <v>41760</v>
      </c>
      <c r="B163" t="s">
        <v>105</v>
      </c>
      <c r="C163" t="s">
        <v>104</v>
      </c>
      <c r="E163" s="26">
        <v>41791</v>
      </c>
      <c r="F163" s="26">
        <f t="shared" si="142"/>
        <v>41820</v>
      </c>
      <c r="G163" s="19">
        <f t="shared" si="143"/>
        <v>1</v>
      </c>
      <c r="H163" s="26">
        <f t="shared" si="144"/>
        <v>41820</v>
      </c>
      <c r="I163" s="26" t="str">
        <f t="shared" si="145"/>
        <v>Não</v>
      </c>
      <c r="J163" s="26">
        <f t="shared" si="146"/>
        <v>41820</v>
      </c>
      <c r="K163" s="26" t="str">
        <f t="shared" si="145"/>
        <v>Não</v>
      </c>
      <c r="L163" s="26">
        <f t="shared" si="147"/>
        <v>41820</v>
      </c>
      <c r="M163" s="26" t="str">
        <f t="shared" ref="M163" si="181">IF(ISNA(VLOOKUP(L163,$A:$A,1,0)),"Não","Sim")</f>
        <v>Não</v>
      </c>
      <c r="N163" s="26">
        <f t="shared" si="149"/>
        <v>41820</v>
      </c>
    </row>
    <row r="164" spans="1:14" x14ac:dyDescent="0.25">
      <c r="A164" s="39">
        <v>41809</v>
      </c>
      <c r="B164" t="s">
        <v>105</v>
      </c>
      <c r="C164" t="s">
        <v>106</v>
      </c>
      <c r="E164" s="26">
        <v>41821</v>
      </c>
      <c r="F164" s="26">
        <f t="shared" si="142"/>
        <v>41851</v>
      </c>
      <c r="G164" s="19">
        <f t="shared" si="143"/>
        <v>4</v>
      </c>
      <c r="H164" s="26">
        <f t="shared" si="144"/>
        <v>41851</v>
      </c>
      <c r="I164" s="26" t="str">
        <f t="shared" si="145"/>
        <v>Não</v>
      </c>
      <c r="J164" s="26">
        <f t="shared" si="146"/>
        <v>41851</v>
      </c>
      <c r="K164" s="26" t="str">
        <f t="shared" si="145"/>
        <v>Não</v>
      </c>
      <c r="L164" s="26">
        <f t="shared" si="147"/>
        <v>41851</v>
      </c>
      <c r="M164" s="26" t="str">
        <f t="shared" ref="M164" si="182">IF(ISNA(VLOOKUP(L164,$A:$A,1,0)),"Não","Sim")</f>
        <v>Não</v>
      </c>
      <c r="N164" s="26">
        <f t="shared" si="149"/>
        <v>41851</v>
      </c>
    </row>
    <row r="165" spans="1:14" x14ac:dyDescent="0.25">
      <c r="A165" s="39">
        <v>41889</v>
      </c>
      <c r="B165" t="s">
        <v>112</v>
      </c>
      <c r="C165" t="s">
        <v>107</v>
      </c>
      <c r="E165" s="26">
        <v>41852</v>
      </c>
      <c r="F165" s="26">
        <f t="shared" si="142"/>
        <v>41882</v>
      </c>
      <c r="G165" s="19">
        <f t="shared" si="143"/>
        <v>7</v>
      </c>
      <c r="H165" s="26">
        <f t="shared" si="144"/>
        <v>41880</v>
      </c>
      <c r="I165" s="26" t="str">
        <f t="shared" si="145"/>
        <v>Não</v>
      </c>
      <c r="J165" s="26">
        <f t="shared" si="146"/>
        <v>41880</v>
      </c>
      <c r="K165" s="26" t="str">
        <f t="shared" si="145"/>
        <v>Não</v>
      </c>
      <c r="L165" s="26">
        <f t="shared" si="147"/>
        <v>41880</v>
      </c>
      <c r="M165" s="26" t="str">
        <f t="shared" ref="M165" si="183">IF(ISNA(VLOOKUP(L165,$A:$A,1,0)),"Não","Sim")</f>
        <v>Não</v>
      </c>
      <c r="N165" s="26">
        <f t="shared" si="149"/>
        <v>41880</v>
      </c>
    </row>
    <row r="166" spans="1:14" x14ac:dyDescent="0.25">
      <c r="A166" s="39">
        <v>41924</v>
      </c>
      <c r="B166" t="s">
        <v>112</v>
      </c>
      <c r="C166" t="s">
        <v>108</v>
      </c>
      <c r="E166" s="26">
        <v>41883</v>
      </c>
      <c r="F166" s="26">
        <f t="shared" si="142"/>
        <v>41912</v>
      </c>
      <c r="G166" s="19">
        <f t="shared" si="143"/>
        <v>2</v>
      </c>
      <c r="H166" s="26">
        <f t="shared" si="144"/>
        <v>41912</v>
      </c>
      <c r="I166" s="26" t="str">
        <f t="shared" si="145"/>
        <v>Não</v>
      </c>
      <c r="J166" s="26">
        <f t="shared" si="146"/>
        <v>41912</v>
      </c>
      <c r="K166" s="26" t="str">
        <f t="shared" si="145"/>
        <v>Não</v>
      </c>
      <c r="L166" s="26">
        <f t="shared" si="147"/>
        <v>41912</v>
      </c>
      <c r="M166" s="26" t="str">
        <f t="shared" ref="M166" si="184">IF(ISNA(VLOOKUP(L166,$A:$A,1,0)),"Não","Sim")</f>
        <v>Não</v>
      </c>
      <c r="N166" s="26">
        <f t="shared" si="149"/>
        <v>41912</v>
      </c>
    </row>
    <row r="167" spans="1:14" x14ac:dyDescent="0.25">
      <c r="A167" s="39">
        <v>41945</v>
      </c>
      <c r="B167" t="s">
        <v>112</v>
      </c>
      <c r="C167" t="s">
        <v>109</v>
      </c>
      <c r="E167" s="26">
        <v>41913</v>
      </c>
      <c r="F167" s="26">
        <f t="shared" si="142"/>
        <v>41943</v>
      </c>
      <c r="G167" s="19">
        <f t="shared" si="143"/>
        <v>5</v>
      </c>
      <c r="H167" s="26">
        <f t="shared" si="144"/>
        <v>41943</v>
      </c>
      <c r="I167" s="26" t="str">
        <f t="shared" si="145"/>
        <v>Não</v>
      </c>
      <c r="J167" s="26">
        <f t="shared" si="146"/>
        <v>41943</v>
      </c>
      <c r="K167" s="26" t="str">
        <f t="shared" si="145"/>
        <v>Não</v>
      </c>
      <c r="L167" s="26">
        <f t="shared" si="147"/>
        <v>41943</v>
      </c>
      <c r="M167" s="26" t="str">
        <f t="shared" ref="M167" si="185">IF(ISNA(VLOOKUP(L167,$A:$A,1,0)),"Não","Sim")</f>
        <v>Não</v>
      </c>
      <c r="N167" s="26">
        <f t="shared" si="149"/>
        <v>41943</v>
      </c>
    </row>
    <row r="168" spans="1:14" x14ac:dyDescent="0.25">
      <c r="A168" s="39">
        <v>41958</v>
      </c>
      <c r="B168" t="s">
        <v>102</v>
      </c>
      <c r="C168" t="s">
        <v>110</v>
      </c>
      <c r="E168" s="26">
        <v>41944</v>
      </c>
      <c r="F168" s="26">
        <f t="shared" si="142"/>
        <v>41973</v>
      </c>
      <c r="G168" s="19">
        <f t="shared" si="143"/>
        <v>7</v>
      </c>
      <c r="H168" s="26">
        <f t="shared" si="144"/>
        <v>41971</v>
      </c>
      <c r="I168" s="26" t="str">
        <f t="shared" si="145"/>
        <v>Não</v>
      </c>
      <c r="J168" s="26">
        <f t="shared" si="146"/>
        <v>41971</v>
      </c>
      <c r="K168" s="26" t="str">
        <f t="shared" si="145"/>
        <v>Não</v>
      </c>
      <c r="L168" s="26">
        <f t="shared" si="147"/>
        <v>41971</v>
      </c>
      <c r="M168" s="26" t="str">
        <f t="shared" ref="M168" si="186">IF(ISNA(VLOOKUP(L168,$A:$A,1,0)),"Não","Sim")</f>
        <v>Não</v>
      </c>
      <c r="N168" s="26">
        <f t="shared" si="149"/>
        <v>41971</v>
      </c>
    </row>
    <row r="169" spans="1:14" x14ac:dyDescent="0.25">
      <c r="A169" s="39">
        <v>41998</v>
      </c>
      <c r="B169" t="s">
        <v>105</v>
      </c>
      <c r="C169" t="s">
        <v>111</v>
      </c>
      <c r="E169" s="26">
        <v>41974</v>
      </c>
      <c r="F169" s="26">
        <f t="shared" si="142"/>
        <v>42004</v>
      </c>
      <c r="G169" s="19">
        <f t="shared" si="143"/>
        <v>3</v>
      </c>
      <c r="H169" s="26">
        <f t="shared" si="144"/>
        <v>42004</v>
      </c>
      <c r="I169" s="26" t="str">
        <f t="shared" si="145"/>
        <v>Não</v>
      </c>
      <c r="J169" s="26">
        <f t="shared" si="146"/>
        <v>42004</v>
      </c>
      <c r="K169" s="26" t="str">
        <f t="shared" si="145"/>
        <v>Não</v>
      </c>
      <c r="L169" s="26">
        <f t="shared" si="147"/>
        <v>42004</v>
      </c>
      <c r="M169" s="26" t="str">
        <f t="shared" ref="M169" si="187">IF(ISNA(VLOOKUP(L169,$A:$A,1,0)),"Não","Sim")</f>
        <v>Não</v>
      </c>
      <c r="N169" s="26">
        <f t="shared" si="149"/>
        <v>42004</v>
      </c>
    </row>
    <row r="170" spans="1:14" x14ac:dyDescent="0.25">
      <c r="A170" s="39">
        <v>42005</v>
      </c>
      <c r="B170" t="s">
        <v>105</v>
      </c>
      <c r="C170" t="s">
        <v>97</v>
      </c>
      <c r="E170" s="26">
        <v>42005</v>
      </c>
      <c r="F170" s="26">
        <f t="shared" si="142"/>
        <v>42035</v>
      </c>
      <c r="G170" s="19">
        <f t="shared" si="143"/>
        <v>6</v>
      </c>
      <c r="H170" s="26">
        <f t="shared" si="144"/>
        <v>42034</v>
      </c>
      <c r="I170" s="26" t="str">
        <f t="shared" si="145"/>
        <v>Não</v>
      </c>
      <c r="J170" s="26">
        <f t="shared" si="146"/>
        <v>42034</v>
      </c>
      <c r="K170" s="26" t="str">
        <f t="shared" si="145"/>
        <v>Não</v>
      </c>
      <c r="L170" s="26">
        <f t="shared" si="147"/>
        <v>42034</v>
      </c>
      <c r="M170" s="26" t="str">
        <f t="shared" ref="M170" si="188">IF(ISNA(VLOOKUP(L170,$A:$A,1,0)),"Não","Sim")</f>
        <v>Não</v>
      </c>
      <c r="N170" s="26">
        <f t="shared" si="149"/>
        <v>42034</v>
      </c>
    </row>
    <row r="171" spans="1:14" x14ac:dyDescent="0.25">
      <c r="A171" s="39">
        <v>42051</v>
      </c>
      <c r="B171" t="s">
        <v>96</v>
      </c>
      <c r="C171" t="s">
        <v>98</v>
      </c>
      <c r="E171" s="26">
        <v>42036</v>
      </c>
      <c r="F171" s="26">
        <f t="shared" si="142"/>
        <v>42063</v>
      </c>
      <c r="G171" s="19">
        <f t="shared" si="143"/>
        <v>6</v>
      </c>
      <c r="H171" s="26">
        <f t="shared" si="144"/>
        <v>42062</v>
      </c>
      <c r="I171" s="26" t="str">
        <f t="shared" si="145"/>
        <v>Não</v>
      </c>
      <c r="J171" s="26">
        <f t="shared" si="146"/>
        <v>42062</v>
      </c>
      <c r="K171" s="26" t="str">
        <f t="shared" si="145"/>
        <v>Não</v>
      </c>
      <c r="L171" s="26">
        <f t="shared" si="147"/>
        <v>42062</v>
      </c>
      <c r="M171" s="26" t="str">
        <f t="shared" ref="M171" si="189">IF(ISNA(VLOOKUP(L171,$A:$A,1,0)),"Não","Sim")</f>
        <v>Não</v>
      </c>
      <c r="N171" s="26">
        <f t="shared" si="149"/>
        <v>42062</v>
      </c>
    </row>
    <row r="172" spans="1:14" x14ac:dyDescent="0.25">
      <c r="A172" s="39">
        <v>42052</v>
      </c>
      <c r="B172" t="s">
        <v>99</v>
      </c>
      <c r="C172" t="s">
        <v>98</v>
      </c>
      <c r="E172" s="26">
        <v>42064</v>
      </c>
      <c r="F172" s="26">
        <f t="shared" si="142"/>
        <v>42094</v>
      </c>
      <c r="G172" s="19">
        <f t="shared" si="143"/>
        <v>2</v>
      </c>
      <c r="H172" s="26">
        <f t="shared" si="144"/>
        <v>42094</v>
      </c>
      <c r="I172" s="26" t="str">
        <f t="shared" si="145"/>
        <v>Não</v>
      </c>
      <c r="J172" s="26">
        <f t="shared" si="146"/>
        <v>42094</v>
      </c>
      <c r="K172" s="26" t="str">
        <f t="shared" si="145"/>
        <v>Não</v>
      </c>
      <c r="L172" s="26">
        <f t="shared" si="147"/>
        <v>42094</v>
      </c>
      <c r="M172" s="26" t="str">
        <f t="shared" ref="M172" si="190">IF(ISNA(VLOOKUP(L172,$A:$A,1,0)),"Não","Sim")</f>
        <v>Não</v>
      </c>
      <c r="N172" s="26">
        <f t="shared" si="149"/>
        <v>42094</v>
      </c>
    </row>
    <row r="173" spans="1:14" x14ac:dyDescent="0.25">
      <c r="A173" s="39">
        <v>42097</v>
      </c>
      <c r="B173" t="s">
        <v>100</v>
      </c>
      <c r="C173" t="s">
        <v>101</v>
      </c>
      <c r="E173" s="26">
        <v>42095</v>
      </c>
      <c r="F173" s="26">
        <f t="shared" si="142"/>
        <v>42124</v>
      </c>
      <c r="G173" s="19">
        <f t="shared" si="143"/>
        <v>4</v>
      </c>
      <c r="H173" s="26">
        <f t="shared" si="144"/>
        <v>42124</v>
      </c>
      <c r="I173" s="26" t="str">
        <f t="shared" si="145"/>
        <v>Não</v>
      </c>
      <c r="J173" s="26">
        <f t="shared" si="146"/>
        <v>42124</v>
      </c>
      <c r="K173" s="26" t="str">
        <f t="shared" si="145"/>
        <v>Não</v>
      </c>
      <c r="L173" s="26">
        <f t="shared" si="147"/>
        <v>42124</v>
      </c>
      <c r="M173" s="26" t="str">
        <f t="shared" ref="M173" si="191">IF(ISNA(VLOOKUP(L173,$A:$A,1,0)),"Não","Sim")</f>
        <v>Não</v>
      </c>
      <c r="N173" s="26">
        <f t="shared" si="149"/>
        <v>42124</v>
      </c>
    </row>
    <row r="174" spans="1:14" x14ac:dyDescent="0.25">
      <c r="A174" s="39">
        <v>42115</v>
      </c>
      <c r="B174" t="s">
        <v>99</v>
      </c>
      <c r="C174" t="s">
        <v>103</v>
      </c>
      <c r="E174" s="26">
        <v>42125</v>
      </c>
      <c r="F174" s="26">
        <f t="shared" si="142"/>
        <v>42155</v>
      </c>
      <c r="G174" s="19">
        <f t="shared" si="143"/>
        <v>7</v>
      </c>
      <c r="H174" s="26">
        <f t="shared" si="144"/>
        <v>42153</v>
      </c>
      <c r="I174" s="26" t="str">
        <f t="shared" si="145"/>
        <v>Não</v>
      </c>
      <c r="J174" s="26">
        <f t="shared" si="146"/>
        <v>42153</v>
      </c>
      <c r="K174" s="26" t="str">
        <f t="shared" si="145"/>
        <v>Não</v>
      </c>
      <c r="L174" s="26">
        <f t="shared" si="147"/>
        <v>42153</v>
      </c>
      <c r="M174" s="26" t="str">
        <f t="shared" ref="M174" si="192">IF(ISNA(VLOOKUP(L174,$A:$A,1,0)),"Não","Sim")</f>
        <v>Não</v>
      </c>
      <c r="N174" s="26">
        <f t="shared" si="149"/>
        <v>42153</v>
      </c>
    </row>
    <row r="175" spans="1:14" x14ac:dyDescent="0.25">
      <c r="A175" s="39">
        <v>42125</v>
      </c>
      <c r="B175" t="s">
        <v>100</v>
      </c>
      <c r="C175" t="s">
        <v>104</v>
      </c>
      <c r="E175" s="26">
        <v>42156</v>
      </c>
      <c r="F175" s="26">
        <f t="shared" si="142"/>
        <v>42185</v>
      </c>
      <c r="G175" s="19">
        <f t="shared" si="143"/>
        <v>2</v>
      </c>
      <c r="H175" s="26">
        <f t="shared" si="144"/>
        <v>42185</v>
      </c>
      <c r="I175" s="26" t="str">
        <f t="shared" si="145"/>
        <v>Não</v>
      </c>
      <c r="J175" s="26">
        <f t="shared" si="146"/>
        <v>42185</v>
      </c>
      <c r="K175" s="26" t="str">
        <f t="shared" si="145"/>
        <v>Não</v>
      </c>
      <c r="L175" s="26">
        <f t="shared" si="147"/>
        <v>42185</v>
      </c>
      <c r="M175" s="26" t="str">
        <f t="shared" ref="M175" si="193">IF(ISNA(VLOOKUP(L175,$A:$A,1,0)),"Não","Sim")</f>
        <v>Não</v>
      </c>
      <c r="N175" s="26">
        <f t="shared" si="149"/>
        <v>42185</v>
      </c>
    </row>
    <row r="176" spans="1:14" x14ac:dyDescent="0.25">
      <c r="A176" s="39">
        <v>42159</v>
      </c>
      <c r="B176" t="s">
        <v>105</v>
      </c>
      <c r="C176" t="s">
        <v>106</v>
      </c>
      <c r="E176" s="26">
        <v>42186</v>
      </c>
      <c r="F176" s="26">
        <f t="shared" si="142"/>
        <v>42216</v>
      </c>
      <c r="G176" s="19">
        <f t="shared" si="143"/>
        <v>5</v>
      </c>
      <c r="H176" s="26">
        <f t="shared" si="144"/>
        <v>42216</v>
      </c>
      <c r="I176" s="26" t="str">
        <f t="shared" si="145"/>
        <v>Não</v>
      </c>
      <c r="J176" s="26">
        <f t="shared" si="146"/>
        <v>42216</v>
      </c>
      <c r="K176" s="26" t="str">
        <f t="shared" si="145"/>
        <v>Não</v>
      </c>
      <c r="L176" s="26">
        <f t="shared" si="147"/>
        <v>42216</v>
      </c>
      <c r="M176" s="26" t="str">
        <f t="shared" ref="M176" si="194">IF(ISNA(VLOOKUP(L176,$A:$A,1,0)),"Não","Sim")</f>
        <v>Não</v>
      </c>
      <c r="N176" s="26">
        <f t="shared" si="149"/>
        <v>42216</v>
      </c>
    </row>
    <row r="177" spans="1:14" x14ac:dyDescent="0.25">
      <c r="A177" s="39">
        <v>42254</v>
      </c>
      <c r="B177" t="s">
        <v>96</v>
      </c>
      <c r="C177" t="s">
        <v>107</v>
      </c>
      <c r="E177" s="26">
        <v>42217</v>
      </c>
      <c r="F177" s="26">
        <f t="shared" si="142"/>
        <v>42247</v>
      </c>
      <c r="G177" s="19">
        <f t="shared" si="143"/>
        <v>1</v>
      </c>
      <c r="H177" s="26">
        <f t="shared" si="144"/>
        <v>42247</v>
      </c>
      <c r="I177" s="26" t="str">
        <f t="shared" si="145"/>
        <v>Não</v>
      </c>
      <c r="J177" s="26">
        <f t="shared" si="146"/>
        <v>42247</v>
      </c>
      <c r="K177" s="26" t="str">
        <f t="shared" si="145"/>
        <v>Não</v>
      </c>
      <c r="L177" s="26">
        <f t="shared" si="147"/>
        <v>42247</v>
      </c>
      <c r="M177" s="26" t="str">
        <f t="shared" ref="M177" si="195">IF(ISNA(VLOOKUP(L177,$A:$A,1,0)),"Não","Sim")</f>
        <v>Não</v>
      </c>
      <c r="N177" s="26">
        <f t="shared" si="149"/>
        <v>42247</v>
      </c>
    </row>
    <row r="178" spans="1:14" x14ac:dyDescent="0.25">
      <c r="A178" s="39">
        <v>42289</v>
      </c>
      <c r="B178" t="s">
        <v>96</v>
      </c>
      <c r="C178" t="s">
        <v>108</v>
      </c>
      <c r="E178" s="26">
        <v>42248</v>
      </c>
      <c r="F178" s="26">
        <f t="shared" si="142"/>
        <v>42277</v>
      </c>
      <c r="G178" s="19">
        <f t="shared" si="143"/>
        <v>3</v>
      </c>
      <c r="H178" s="26">
        <f t="shared" si="144"/>
        <v>42277</v>
      </c>
      <c r="I178" s="26" t="str">
        <f t="shared" si="145"/>
        <v>Não</v>
      </c>
      <c r="J178" s="26">
        <f t="shared" si="146"/>
        <v>42277</v>
      </c>
      <c r="K178" s="26" t="str">
        <f t="shared" si="145"/>
        <v>Não</v>
      </c>
      <c r="L178" s="26">
        <f t="shared" si="147"/>
        <v>42277</v>
      </c>
      <c r="M178" s="26" t="str">
        <f t="shared" ref="M178" si="196">IF(ISNA(VLOOKUP(L178,$A:$A,1,0)),"Não","Sim")</f>
        <v>Não</v>
      </c>
      <c r="N178" s="26">
        <f t="shared" si="149"/>
        <v>42277</v>
      </c>
    </row>
    <row r="179" spans="1:14" x14ac:dyDescent="0.25">
      <c r="A179" s="39">
        <v>42310</v>
      </c>
      <c r="B179" t="s">
        <v>96</v>
      </c>
      <c r="C179" t="s">
        <v>109</v>
      </c>
      <c r="E179" s="26">
        <v>42278</v>
      </c>
      <c r="F179" s="26">
        <f t="shared" si="142"/>
        <v>42308</v>
      </c>
      <c r="G179" s="19">
        <f t="shared" si="143"/>
        <v>6</v>
      </c>
      <c r="H179" s="26">
        <f t="shared" si="144"/>
        <v>42307</v>
      </c>
      <c r="I179" s="26" t="str">
        <f t="shared" si="145"/>
        <v>Não</v>
      </c>
      <c r="J179" s="26">
        <f t="shared" si="146"/>
        <v>42307</v>
      </c>
      <c r="K179" s="26" t="str">
        <f t="shared" si="145"/>
        <v>Não</v>
      </c>
      <c r="L179" s="26">
        <f t="shared" si="147"/>
        <v>42307</v>
      </c>
      <c r="M179" s="26" t="str">
        <f t="shared" ref="M179" si="197">IF(ISNA(VLOOKUP(L179,$A:$A,1,0)),"Não","Sim")</f>
        <v>Não</v>
      </c>
      <c r="N179" s="26">
        <f t="shared" si="149"/>
        <v>42307</v>
      </c>
    </row>
    <row r="180" spans="1:14" x14ac:dyDescent="0.25">
      <c r="A180" s="39">
        <v>42323</v>
      </c>
      <c r="B180" t="s">
        <v>112</v>
      </c>
      <c r="C180" t="s">
        <v>110</v>
      </c>
      <c r="E180" s="26">
        <v>42309</v>
      </c>
      <c r="F180" s="26">
        <f t="shared" si="142"/>
        <v>42338</v>
      </c>
      <c r="G180" s="19">
        <f t="shared" si="143"/>
        <v>1</v>
      </c>
      <c r="H180" s="26">
        <f t="shared" si="144"/>
        <v>42338</v>
      </c>
      <c r="I180" s="26" t="str">
        <f t="shared" si="145"/>
        <v>Não</v>
      </c>
      <c r="J180" s="26">
        <f t="shared" si="146"/>
        <v>42338</v>
      </c>
      <c r="K180" s="26" t="str">
        <f t="shared" si="145"/>
        <v>Não</v>
      </c>
      <c r="L180" s="26">
        <f t="shared" si="147"/>
        <v>42338</v>
      </c>
      <c r="M180" s="26" t="str">
        <f t="shared" ref="M180" si="198">IF(ISNA(VLOOKUP(L180,$A:$A,1,0)),"Não","Sim")</f>
        <v>Não</v>
      </c>
      <c r="N180" s="26">
        <f t="shared" si="149"/>
        <v>42338</v>
      </c>
    </row>
    <row r="181" spans="1:14" x14ac:dyDescent="0.25">
      <c r="A181" s="39">
        <v>42363</v>
      </c>
      <c r="B181" t="s">
        <v>100</v>
      </c>
      <c r="C181" t="s">
        <v>111</v>
      </c>
      <c r="E181" s="26">
        <v>42339</v>
      </c>
      <c r="F181" s="26">
        <f t="shared" si="142"/>
        <v>42369</v>
      </c>
      <c r="G181" s="19">
        <f t="shared" si="143"/>
        <v>4</v>
      </c>
      <c r="H181" s="26">
        <f t="shared" si="144"/>
        <v>42369</v>
      </c>
      <c r="I181" s="26" t="str">
        <f t="shared" si="145"/>
        <v>Não</v>
      </c>
      <c r="J181" s="26">
        <f t="shared" si="146"/>
        <v>42369</v>
      </c>
      <c r="K181" s="26" t="str">
        <f t="shared" si="145"/>
        <v>Não</v>
      </c>
      <c r="L181" s="26">
        <f t="shared" si="147"/>
        <v>42369</v>
      </c>
      <c r="M181" s="26" t="str">
        <f t="shared" ref="M181" si="199">IF(ISNA(VLOOKUP(L181,$A:$A,1,0)),"Não","Sim")</f>
        <v>Não</v>
      </c>
      <c r="N181" s="26">
        <f t="shared" si="149"/>
        <v>42369</v>
      </c>
    </row>
    <row r="182" spans="1:14" x14ac:dyDescent="0.25">
      <c r="A182" s="39">
        <v>42370</v>
      </c>
      <c r="B182" t="s">
        <v>100</v>
      </c>
      <c r="C182" t="s">
        <v>97</v>
      </c>
      <c r="E182" s="26">
        <v>42370</v>
      </c>
      <c r="F182" s="26">
        <f t="shared" si="142"/>
        <v>42400</v>
      </c>
      <c r="G182" s="19">
        <f t="shared" si="143"/>
        <v>7</v>
      </c>
      <c r="H182" s="26">
        <f t="shared" si="144"/>
        <v>42398</v>
      </c>
      <c r="I182" s="26" t="str">
        <f t="shared" si="145"/>
        <v>Não</v>
      </c>
      <c r="J182" s="26">
        <f t="shared" si="146"/>
        <v>42398</v>
      </c>
      <c r="K182" s="26" t="str">
        <f t="shared" si="145"/>
        <v>Não</v>
      </c>
      <c r="L182" s="26">
        <f t="shared" si="147"/>
        <v>42398</v>
      </c>
      <c r="M182" s="26" t="str">
        <f t="shared" ref="M182" si="200">IF(ISNA(VLOOKUP(L182,$A:$A,1,0)),"Não","Sim")</f>
        <v>Não</v>
      </c>
      <c r="N182" s="26">
        <f t="shared" si="149"/>
        <v>42398</v>
      </c>
    </row>
    <row r="183" spans="1:14" x14ac:dyDescent="0.25">
      <c r="A183" s="39">
        <v>42408</v>
      </c>
      <c r="B183" t="s">
        <v>96</v>
      </c>
      <c r="C183" t="s">
        <v>98</v>
      </c>
      <c r="E183" s="26">
        <v>42401</v>
      </c>
      <c r="F183" s="26">
        <f t="shared" si="142"/>
        <v>42429</v>
      </c>
      <c r="G183" s="19">
        <f t="shared" si="143"/>
        <v>1</v>
      </c>
      <c r="H183" s="26">
        <f t="shared" si="144"/>
        <v>42429</v>
      </c>
      <c r="I183" s="26" t="str">
        <f t="shared" si="145"/>
        <v>Não</v>
      </c>
      <c r="J183" s="26">
        <f t="shared" si="146"/>
        <v>42429</v>
      </c>
      <c r="K183" s="26" t="str">
        <f t="shared" si="145"/>
        <v>Não</v>
      </c>
      <c r="L183" s="26">
        <f t="shared" si="147"/>
        <v>42429</v>
      </c>
      <c r="M183" s="26" t="str">
        <f t="shared" ref="M183" si="201">IF(ISNA(VLOOKUP(L183,$A:$A,1,0)),"Não","Sim")</f>
        <v>Não</v>
      </c>
      <c r="N183" s="26">
        <f t="shared" si="149"/>
        <v>42429</v>
      </c>
    </row>
    <row r="184" spans="1:14" x14ac:dyDescent="0.25">
      <c r="A184" s="39">
        <v>42409</v>
      </c>
      <c r="B184" t="s">
        <v>99</v>
      </c>
      <c r="C184" t="s">
        <v>98</v>
      </c>
      <c r="E184" s="26">
        <v>42430</v>
      </c>
      <c r="F184" s="26">
        <f t="shared" si="142"/>
        <v>42460</v>
      </c>
      <c r="G184" s="19">
        <f t="shared" si="143"/>
        <v>4</v>
      </c>
      <c r="H184" s="26">
        <f t="shared" si="144"/>
        <v>42460</v>
      </c>
      <c r="I184" s="26" t="str">
        <f t="shared" si="145"/>
        <v>Não</v>
      </c>
      <c r="J184" s="26">
        <f t="shared" si="146"/>
        <v>42460</v>
      </c>
      <c r="K184" s="26" t="str">
        <f t="shared" si="145"/>
        <v>Não</v>
      </c>
      <c r="L184" s="26">
        <f t="shared" si="147"/>
        <v>42460</v>
      </c>
      <c r="M184" s="26" t="str">
        <f t="shared" ref="M184" si="202">IF(ISNA(VLOOKUP(L184,$A:$A,1,0)),"Não","Sim")</f>
        <v>Não</v>
      </c>
      <c r="N184" s="26">
        <f t="shared" si="149"/>
        <v>42460</v>
      </c>
    </row>
    <row r="185" spans="1:14" x14ac:dyDescent="0.25">
      <c r="A185" s="39">
        <v>42454</v>
      </c>
      <c r="B185" t="s">
        <v>100</v>
      </c>
      <c r="C185" t="s">
        <v>101</v>
      </c>
      <c r="E185" s="26">
        <v>42461</v>
      </c>
      <c r="F185" s="26">
        <f t="shared" si="142"/>
        <v>42490</v>
      </c>
      <c r="G185" s="19">
        <f t="shared" si="143"/>
        <v>6</v>
      </c>
      <c r="H185" s="26">
        <f t="shared" si="144"/>
        <v>42489</v>
      </c>
      <c r="I185" s="26" t="str">
        <f t="shared" si="145"/>
        <v>Não</v>
      </c>
      <c r="J185" s="26">
        <f t="shared" si="146"/>
        <v>42489</v>
      </c>
      <c r="K185" s="26" t="str">
        <f t="shared" si="145"/>
        <v>Não</v>
      </c>
      <c r="L185" s="26">
        <f t="shared" si="147"/>
        <v>42489</v>
      </c>
      <c r="M185" s="26" t="str">
        <f t="shared" ref="M185" si="203">IF(ISNA(VLOOKUP(L185,$A:$A,1,0)),"Não","Sim")</f>
        <v>Não</v>
      </c>
      <c r="N185" s="26">
        <f t="shared" si="149"/>
        <v>42489</v>
      </c>
    </row>
    <row r="186" spans="1:14" x14ac:dyDescent="0.25">
      <c r="A186" s="39">
        <v>42481</v>
      </c>
      <c r="B186" t="s">
        <v>105</v>
      </c>
      <c r="C186" t="s">
        <v>103</v>
      </c>
      <c r="E186" s="26">
        <v>42491</v>
      </c>
      <c r="F186" s="26">
        <f t="shared" si="142"/>
        <v>42521</v>
      </c>
      <c r="G186" s="19">
        <f t="shared" si="143"/>
        <v>2</v>
      </c>
      <c r="H186" s="26">
        <f t="shared" si="144"/>
        <v>42521</v>
      </c>
      <c r="I186" s="26" t="str">
        <f t="shared" si="145"/>
        <v>Não</v>
      </c>
      <c r="J186" s="26">
        <f t="shared" si="146"/>
        <v>42521</v>
      </c>
      <c r="K186" s="26" t="str">
        <f t="shared" si="145"/>
        <v>Não</v>
      </c>
      <c r="L186" s="26">
        <f t="shared" si="147"/>
        <v>42521</v>
      </c>
      <c r="M186" s="26" t="str">
        <f t="shared" ref="M186" si="204">IF(ISNA(VLOOKUP(L186,$A:$A,1,0)),"Não","Sim")</f>
        <v>Não</v>
      </c>
      <c r="N186" s="26">
        <f t="shared" si="149"/>
        <v>42521</v>
      </c>
    </row>
    <row r="187" spans="1:14" x14ac:dyDescent="0.25">
      <c r="A187" s="39">
        <v>42491</v>
      </c>
      <c r="B187" t="s">
        <v>112</v>
      </c>
      <c r="C187" t="s">
        <v>104</v>
      </c>
      <c r="E187" s="26">
        <v>42522</v>
      </c>
      <c r="F187" s="26">
        <f t="shared" si="142"/>
        <v>42551</v>
      </c>
      <c r="G187" s="19">
        <f t="shared" si="143"/>
        <v>4</v>
      </c>
      <c r="H187" s="26">
        <f t="shared" si="144"/>
        <v>42551</v>
      </c>
      <c r="I187" s="26" t="str">
        <f t="shared" si="145"/>
        <v>Não</v>
      </c>
      <c r="J187" s="26">
        <f t="shared" si="146"/>
        <v>42551</v>
      </c>
      <c r="K187" s="26" t="str">
        <f t="shared" si="145"/>
        <v>Não</v>
      </c>
      <c r="L187" s="26">
        <f t="shared" si="147"/>
        <v>42551</v>
      </c>
      <c r="M187" s="26" t="str">
        <f t="shared" ref="M187" si="205">IF(ISNA(VLOOKUP(L187,$A:$A,1,0)),"Não","Sim")</f>
        <v>Não</v>
      </c>
      <c r="N187" s="26">
        <f t="shared" si="149"/>
        <v>42551</v>
      </c>
    </row>
    <row r="188" spans="1:14" x14ac:dyDescent="0.25">
      <c r="A188" s="39">
        <v>42516</v>
      </c>
      <c r="B188" t="s">
        <v>105</v>
      </c>
      <c r="C188" t="s">
        <v>106</v>
      </c>
      <c r="E188" s="26">
        <v>42552</v>
      </c>
      <c r="F188" s="26">
        <f t="shared" si="142"/>
        <v>42582</v>
      </c>
      <c r="G188" s="19">
        <f t="shared" si="143"/>
        <v>7</v>
      </c>
      <c r="H188" s="26">
        <f t="shared" si="144"/>
        <v>42580</v>
      </c>
      <c r="I188" s="26" t="str">
        <f t="shared" si="145"/>
        <v>Não</v>
      </c>
      <c r="J188" s="26">
        <f t="shared" si="146"/>
        <v>42580</v>
      </c>
      <c r="K188" s="26" t="str">
        <f t="shared" si="145"/>
        <v>Não</v>
      </c>
      <c r="L188" s="26">
        <f t="shared" si="147"/>
        <v>42580</v>
      </c>
      <c r="M188" s="26" t="str">
        <f t="shared" ref="M188" si="206">IF(ISNA(VLOOKUP(L188,$A:$A,1,0)),"Não","Sim")</f>
        <v>Não</v>
      </c>
      <c r="N188" s="26">
        <f t="shared" si="149"/>
        <v>42580</v>
      </c>
    </row>
    <row r="189" spans="1:14" x14ac:dyDescent="0.25">
      <c r="A189" s="39">
        <v>42620</v>
      </c>
      <c r="B189" t="s">
        <v>113</v>
      </c>
      <c r="C189" t="s">
        <v>107</v>
      </c>
      <c r="E189" s="26">
        <v>42583</v>
      </c>
      <c r="F189" s="26">
        <f t="shared" si="142"/>
        <v>42613</v>
      </c>
      <c r="G189" s="19">
        <f t="shared" si="143"/>
        <v>3</v>
      </c>
      <c r="H189" s="26">
        <f t="shared" si="144"/>
        <v>42613</v>
      </c>
      <c r="I189" s="26" t="str">
        <f t="shared" si="145"/>
        <v>Não</v>
      </c>
      <c r="J189" s="26">
        <f t="shared" si="146"/>
        <v>42613</v>
      </c>
      <c r="K189" s="26" t="str">
        <f t="shared" si="145"/>
        <v>Não</v>
      </c>
      <c r="L189" s="26">
        <f t="shared" si="147"/>
        <v>42613</v>
      </c>
      <c r="M189" s="26" t="str">
        <f t="shared" ref="M189" si="207">IF(ISNA(VLOOKUP(L189,$A:$A,1,0)),"Não","Sim")</f>
        <v>Não</v>
      </c>
      <c r="N189" s="26">
        <f t="shared" si="149"/>
        <v>42613</v>
      </c>
    </row>
    <row r="190" spans="1:14" x14ac:dyDescent="0.25">
      <c r="A190" s="39">
        <v>42655</v>
      </c>
      <c r="B190" t="s">
        <v>113</v>
      </c>
      <c r="C190" t="s">
        <v>108</v>
      </c>
      <c r="E190" s="26">
        <v>42614</v>
      </c>
      <c r="F190" s="26">
        <f t="shared" si="142"/>
        <v>42643</v>
      </c>
      <c r="G190" s="19">
        <f t="shared" si="143"/>
        <v>5</v>
      </c>
      <c r="H190" s="26">
        <f t="shared" si="144"/>
        <v>42643</v>
      </c>
      <c r="I190" s="26" t="str">
        <f t="shared" si="145"/>
        <v>Não</v>
      </c>
      <c r="J190" s="26">
        <f t="shared" si="146"/>
        <v>42643</v>
      </c>
      <c r="K190" s="26" t="str">
        <f t="shared" si="145"/>
        <v>Não</v>
      </c>
      <c r="L190" s="26">
        <f t="shared" si="147"/>
        <v>42643</v>
      </c>
      <c r="M190" s="26" t="str">
        <f t="shared" ref="M190" si="208">IF(ISNA(VLOOKUP(L190,$A:$A,1,0)),"Não","Sim")</f>
        <v>Não</v>
      </c>
      <c r="N190" s="26">
        <f t="shared" si="149"/>
        <v>42643</v>
      </c>
    </row>
    <row r="191" spans="1:14" x14ac:dyDescent="0.25">
      <c r="A191" s="39">
        <v>42676</v>
      </c>
      <c r="B191" t="s">
        <v>113</v>
      </c>
      <c r="C191" t="s">
        <v>109</v>
      </c>
      <c r="E191" s="26">
        <v>42644</v>
      </c>
      <c r="F191" s="26">
        <f t="shared" si="142"/>
        <v>42674</v>
      </c>
      <c r="G191" s="19">
        <f t="shared" si="143"/>
        <v>1</v>
      </c>
      <c r="H191" s="26">
        <f t="shared" si="144"/>
        <v>42674</v>
      </c>
      <c r="I191" s="26" t="str">
        <f t="shared" si="145"/>
        <v>Não</v>
      </c>
      <c r="J191" s="26">
        <f t="shared" si="146"/>
        <v>42674</v>
      </c>
      <c r="K191" s="26" t="str">
        <f t="shared" si="145"/>
        <v>Não</v>
      </c>
      <c r="L191" s="26">
        <f t="shared" si="147"/>
        <v>42674</v>
      </c>
      <c r="M191" s="26" t="str">
        <f t="shared" ref="M191" si="209">IF(ISNA(VLOOKUP(L191,$A:$A,1,0)),"Não","Sim")</f>
        <v>Não</v>
      </c>
      <c r="N191" s="26">
        <f t="shared" si="149"/>
        <v>42674</v>
      </c>
    </row>
    <row r="192" spans="1:14" x14ac:dyDescent="0.25">
      <c r="A192" s="39">
        <v>42689</v>
      </c>
      <c r="B192" t="s">
        <v>99</v>
      </c>
      <c r="C192" t="s">
        <v>110</v>
      </c>
      <c r="E192" s="26">
        <v>42675</v>
      </c>
      <c r="F192" s="26">
        <f t="shared" si="142"/>
        <v>42704</v>
      </c>
      <c r="G192" s="19">
        <f t="shared" si="143"/>
        <v>3</v>
      </c>
      <c r="H192" s="26">
        <f t="shared" si="144"/>
        <v>42704</v>
      </c>
      <c r="I192" s="26" t="str">
        <f t="shared" si="145"/>
        <v>Não</v>
      </c>
      <c r="J192" s="26">
        <f t="shared" si="146"/>
        <v>42704</v>
      </c>
      <c r="K192" s="26" t="str">
        <f t="shared" si="145"/>
        <v>Não</v>
      </c>
      <c r="L192" s="26">
        <f t="shared" si="147"/>
        <v>42704</v>
      </c>
      <c r="M192" s="26" t="str">
        <f t="shared" ref="M192" si="210">IF(ISNA(VLOOKUP(L192,$A:$A,1,0)),"Não","Sim")</f>
        <v>Não</v>
      </c>
      <c r="N192" s="26">
        <f t="shared" si="149"/>
        <v>42704</v>
      </c>
    </row>
    <row r="193" spans="1:14" x14ac:dyDescent="0.25">
      <c r="A193" s="39">
        <v>42729</v>
      </c>
      <c r="B193" t="s">
        <v>112</v>
      </c>
      <c r="C193" t="s">
        <v>111</v>
      </c>
      <c r="E193" s="26">
        <v>42705</v>
      </c>
      <c r="F193" s="26">
        <f t="shared" si="142"/>
        <v>42735</v>
      </c>
      <c r="G193" s="19">
        <f t="shared" si="143"/>
        <v>6</v>
      </c>
      <c r="H193" s="26">
        <f t="shared" si="144"/>
        <v>42734</v>
      </c>
      <c r="I193" s="26" t="str">
        <f t="shared" si="145"/>
        <v>Não</v>
      </c>
      <c r="J193" s="26">
        <f t="shared" si="146"/>
        <v>42734</v>
      </c>
      <c r="K193" s="26" t="str">
        <f t="shared" si="145"/>
        <v>Não</v>
      </c>
      <c r="L193" s="26">
        <f t="shared" si="147"/>
        <v>42734</v>
      </c>
      <c r="M193" s="26" t="str">
        <f t="shared" ref="M193" si="211">IF(ISNA(VLOOKUP(L193,$A:$A,1,0)),"Não","Sim")</f>
        <v>Não</v>
      </c>
      <c r="N193" s="26">
        <f t="shared" si="149"/>
        <v>42734</v>
      </c>
    </row>
    <row r="194" spans="1:14" x14ac:dyDescent="0.25">
      <c r="A194" s="39">
        <v>42736</v>
      </c>
      <c r="B194" t="s">
        <v>112</v>
      </c>
      <c r="C194" t="s">
        <v>97</v>
      </c>
      <c r="E194" s="26">
        <v>42736</v>
      </c>
      <c r="F194" s="26">
        <f t="shared" si="142"/>
        <v>42766</v>
      </c>
      <c r="G194" s="19">
        <f t="shared" si="143"/>
        <v>2</v>
      </c>
      <c r="H194" s="26">
        <f t="shared" si="144"/>
        <v>42766</v>
      </c>
      <c r="I194" s="26" t="str">
        <f t="shared" si="145"/>
        <v>Não</v>
      </c>
      <c r="J194" s="26">
        <f t="shared" si="146"/>
        <v>42766</v>
      </c>
      <c r="K194" s="26" t="str">
        <f t="shared" si="145"/>
        <v>Não</v>
      </c>
      <c r="L194" s="26">
        <f t="shared" si="147"/>
        <v>42766</v>
      </c>
      <c r="M194" s="26" t="str">
        <f t="shared" ref="M194" si="212">IF(ISNA(VLOOKUP(L194,$A:$A,1,0)),"Não","Sim")</f>
        <v>Não</v>
      </c>
      <c r="N194" s="26">
        <f t="shared" si="149"/>
        <v>42766</v>
      </c>
    </row>
    <row r="195" spans="1:14" x14ac:dyDescent="0.25">
      <c r="A195" s="39">
        <v>42793</v>
      </c>
      <c r="B195" t="s">
        <v>96</v>
      </c>
      <c r="C195" t="s">
        <v>98</v>
      </c>
      <c r="E195" s="26">
        <v>42767</v>
      </c>
      <c r="F195" s="26">
        <f t="shared" ref="F195:F258" si="213">EOMONTH(E195,0)</f>
        <v>42794</v>
      </c>
      <c r="G195" s="19">
        <f t="shared" ref="G195:G258" si="214">WEEKDAY(F195,2)</f>
        <v>2</v>
      </c>
      <c r="H195" s="26">
        <f t="shared" ref="H195:H258" si="215">IF(G195=6,F195-1,IF(G195=7,F195-2,F195))</f>
        <v>42794</v>
      </c>
      <c r="I195" s="26" t="str">
        <f t="shared" ref="I195:K258" si="216">IF(ISNA(VLOOKUP(H195,$A:$A,1,0)),"Não","Sim")</f>
        <v>Sim</v>
      </c>
      <c r="J195" s="26">
        <f t="shared" ref="J195:J258" si="217">IF(I195="Não",H195,H195-1)</f>
        <v>42793</v>
      </c>
      <c r="K195" s="26" t="str">
        <f t="shared" si="216"/>
        <v>Sim</v>
      </c>
      <c r="L195" s="26">
        <f t="shared" ref="L195:L258" si="218">IF(K195="Não",J195,J195-1)</f>
        <v>42792</v>
      </c>
      <c r="M195" s="26" t="str">
        <f t="shared" ref="M195" si="219">IF(ISNA(VLOOKUP(L195,$A:$A,1,0)),"Não","Sim")</f>
        <v>Não</v>
      </c>
      <c r="N195" s="26">
        <f t="shared" ref="N195:N258" si="220">IF(M195="Não",L195,L195-1)</f>
        <v>42792</v>
      </c>
    </row>
    <row r="196" spans="1:14" x14ac:dyDescent="0.25">
      <c r="A196" s="39">
        <v>42794</v>
      </c>
      <c r="B196" t="s">
        <v>99</v>
      </c>
      <c r="C196" t="s">
        <v>98</v>
      </c>
      <c r="E196" s="26">
        <v>42795</v>
      </c>
      <c r="F196" s="26">
        <f t="shared" si="213"/>
        <v>42825</v>
      </c>
      <c r="G196" s="19">
        <f t="shared" si="214"/>
        <v>5</v>
      </c>
      <c r="H196" s="26">
        <f t="shared" si="215"/>
        <v>42825</v>
      </c>
      <c r="I196" s="26" t="str">
        <f t="shared" si="216"/>
        <v>Não</v>
      </c>
      <c r="J196" s="26">
        <f t="shared" si="217"/>
        <v>42825</v>
      </c>
      <c r="K196" s="26" t="str">
        <f t="shared" si="216"/>
        <v>Não</v>
      </c>
      <c r="L196" s="26">
        <f t="shared" si="218"/>
        <v>42825</v>
      </c>
      <c r="M196" s="26" t="str">
        <f t="shared" ref="M196" si="221">IF(ISNA(VLOOKUP(L196,$A:$A,1,0)),"Não","Sim")</f>
        <v>Não</v>
      </c>
      <c r="N196" s="26">
        <f t="shared" si="220"/>
        <v>42825</v>
      </c>
    </row>
    <row r="197" spans="1:14" x14ac:dyDescent="0.25">
      <c r="A197" s="39">
        <v>42839</v>
      </c>
      <c r="B197" t="s">
        <v>100</v>
      </c>
      <c r="C197" t="s">
        <v>101</v>
      </c>
      <c r="E197" s="26">
        <v>42826</v>
      </c>
      <c r="F197" s="26">
        <f t="shared" si="213"/>
        <v>42855</v>
      </c>
      <c r="G197" s="19">
        <f t="shared" si="214"/>
        <v>7</v>
      </c>
      <c r="H197" s="26">
        <f t="shared" si="215"/>
        <v>42853</v>
      </c>
      <c r="I197" s="26" t="str">
        <f t="shared" si="216"/>
        <v>Não</v>
      </c>
      <c r="J197" s="26">
        <f t="shared" si="217"/>
        <v>42853</v>
      </c>
      <c r="K197" s="26" t="str">
        <f t="shared" si="216"/>
        <v>Não</v>
      </c>
      <c r="L197" s="26">
        <f t="shared" si="218"/>
        <v>42853</v>
      </c>
      <c r="M197" s="26" t="str">
        <f t="shared" ref="M197" si="222">IF(ISNA(VLOOKUP(L197,$A:$A,1,0)),"Não","Sim")</f>
        <v>Não</v>
      </c>
      <c r="N197" s="26">
        <f t="shared" si="220"/>
        <v>42853</v>
      </c>
    </row>
    <row r="198" spans="1:14" x14ac:dyDescent="0.25">
      <c r="A198" s="39">
        <v>42846</v>
      </c>
      <c r="B198" t="s">
        <v>100</v>
      </c>
      <c r="C198" t="s">
        <v>103</v>
      </c>
      <c r="E198" s="26">
        <v>42856</v>
      </c>
      <c r="F198" s="26">
        <f t="shared" si="213"/>
        <v>42886</v>
      </c>
      <c r="G198" s="19">
        <f t="shared" si="214"/>
        <v>3</v>
      </c>
      <c r="H198" s="26">
        <f t="shared" si="215"/>
        <v>42886</v>
      </c>
      <c r="I198" s="26" t="str">
        <f t="shared" si="216"/>
        <v>Não</v>
      </c>
      <c r="J198" s="26">
        <f t="shared" si="217"/>
        <v>42886</v>
      </c>
      <c r="K198" s="26" t="str">
        <f t="shared" si="216"/>
        <v>Não</v>
      </c>
      <c r="L198" s="26">
        <f t="shared" si="218"/>
        <v>42886</v>
      </c>
      <c r="M198" s="26" t="str">
        <f t="shared" ref="M198" si="223">IF(ISNA(VLOOKUP(L198,$A:$A,1,0)),"Não","Sim")</f>
        <v>Não</v>
      </c>
      <c r="N198" s="26">
        <f t="shared" si="220"/>
        <v>42886</v>
      </c>
    </row>
    <row r="199" spans="1:14" x14ac:dyDescent="0.25">
      <c r="A199" s="39">
        <v>42856</v>
      </c>
      <c r="B199" t="s">
        <v>96</v>
      </c>
      <c r="C199" t="s">
        <v>104</v>
      </c>
      <c r="E199" s="26">
        <v>42887</v>
      </c>
      <c r="F199" s="26">
        <f t="shared" si="213"/>
        <v>42916</v>
      </c>
      <c r="G199" s="19">
        <f t="shared" si="214"/>
        <v>5</v>
      </c>
      <c r="H199" s="26">
        <f t="shared" si="215"/>
        <v>42916</v>
      </c>
      <c r="I199" s="26" t="str">
        <f t="shared" si="216"/>
        <v>Não</v>
      </c>
      <c r="J199" s="26">
        <f t="shared" si="217"/>
        <v>42916</v>
      </c>
      <c r="K199" s="26" t="str">
        <f t="shared" si="216"/>
        <v>Não</v>
      </c>
      <c r="L199" s="26">
        <f t="shared" si="218"/>
        <v>42916</v>
      </c>
      <c r="M199" s="26" t="str">
        <f t="shared" ref="M199" si="224">IF(ISNA(VLOOKUP(L199,$A:$A,1,0)),"Não","Sim")</f>
        <v>Não</v>
      </c>
      <c r="N199" s="26">
        <f t="shared" si="220"/>
        <v>42916</v>
      </c>
    </row>
    <row r="200" spans="1:14" x14ac:dyDescent="0.25">
      <c r="A200" s="39">
        <v>42901</v>
      </c>
      <c r="B200" t="s">
        <v>105</v>
      </c>
      <c r="C200" t="s">
        <v>106</v>
      </c>
      <c r="E200" s="26">
        <v>42917</v>
      </c>
      <c r="F200" s="26">
        <f t="shared" si="213"/>
        <v>42947</v>
      </c>
      <c r="G200" s="19">
        <f t="shared" si="214"/>
        <v>1</v>
      </c>
      <c r="H200" s="26">
        <f t="shared" si="215"/>
        <v>42947</v>
      </c>
      <c r="I200" s="26" t="str">
        <f t="shared" si="216"/>
        <v>Não</v>
      </c>
      <c r="J200" s="26">
        <f t="shared" si="217"/>
        <v>42947</v>
      </c>
      <c r="K200" s="26" t="str">
        <f t="shared" si="216"/>
        <v>Não</v>
      </c>
      <c r="L200" s="26">
        <f t="shared" si="218"/>
        <v>42947</v>
      </c>
      <c r="M200" s="26" t="str">
        <f t="shared" ref="M200" si="225">IF(ISNA(VLOOKUP(L200,$A:$A,1,0)),"Não","Sim")</f>
        <v>Não</v>
      </c>
      <c r="N200" s="26">
        <f t="shared" si="220"/>
        <v>42947</v>
      </c>
    </row>
    <row r="201" spans="1:14" x14ac:dyDescent="0.25">
      <c r="A201" s="39">
        <v>42985</v>
      </c>
      <c r="B201" t="s">
        <v>105</v>
      </c>
      <c r="C201" t="s">
        <v>107</v>
      </c>
      <c r="E201" s="26">
        <v>42948</v>
      </c>
      <c r="F201" s="26">
        <f t="shared" si="213"/>
        <v>42978</v>
      </c>
      <c r="G201" s="19">
        <f t="shared" si="214"/>
        <v>4</v>
      </c>
      <c r="H201" s="26">
        <f t="shared" si="215"/>
        <v>42978</v>
      </c>
      <c r="I201" s="26" t="str">
        <f t="shared" si="216"/>
        <v>Não</v>
      </c>
      <c r="J201" s="26">
        <f t="shared" si="217"/>
        <v>42978</v>
      </c>
      <c r="K201" s="26" t="str">
        <f t="shared" si="216"/>
        <v>Não</v>
      </c>
      <c r="L201" s="26">
        <f t="shared" si="218"/>
        <v>42978</v>
      </c>
      <c r="M201" s="26" t="str">
        <f t="shared" ref="M201" si="226">IF(ISNA(VLOOKUP(L201,$A:$A,1,0)),"Não","Sim")</f>
        <v>Não</v>
      </c>
      <c r="N201" s="26">
        <f t="shared" si="220"/>
        <v>42978</v>
      </c>
    </row>
    <row r="202" spans="1:14" x14ac:dyDescent="0.25">
      <c r="A202" s="39">
        <v>43020</v>
      </c>
      <c r="B202" t="s">
        <v>105</v>
      </c>
      <c r="C202" t="s">
        <v>108</v>
      </c>
      <c r="E202" s="26">
        <v>42979</v>
      </c>
      <c r="F202" s="26">
        <f t="shared" si="213"/>
        <v>43008</v>
      </c>
      <c r="G202" s="19">
        <f t="shared" si="214"/>
        <v>6</v>
      </c>
      <c r="H202" s="26">
        <f t="shared" si="215"/>
        <v>43007</v>
      </c>
      <c r="I202" s="26" t="str">
        <f t="shared" si="216"/>
        <v>Não</v>
      </c>
      <c r="J202" s="26">
        <f t="shared" si="217"/>
        <v>43007</v>
      </c>
      <c r="K202" s="26" t="str">
        <f t="shared" si="216"/>
        <v>Não</v>
      </c>
      <c r="L202" s="26">
        <f t="shared" si="218"/>
        <v>43007</v>
      </c>
      <c r="M202" s="26" t="str">
        <f t="shared" ref="M202" si="227">IF(ISNA(VLOOKUP(L202,$A:$A,1,0)),"Não","Sim")</f>
        <v>Não</v>
      </c>
      <c r="N202" s="26">
        <f t="shared" si="220"/>
        <v>43007</v>
      </c>
    </row>
    <row r="203" spans="1:14" x14ac:dyDescent="0.25">
      <c r="A203" s="39">
        <v>43041</v>
      </c>
      <c r="B203" t="s">
        <v>105</v>
      </c>
      <c r="C203" t="s">
        <v>109</v>
      </c>
      <c r="E203" s="26">
        <v>43009</v>
      </c>
      <c r="F203" s="26">
        <f t="shared" si="213"/>
        <v>43039</v>
      </c>
      <c r="G203" s="19">
        <f t="shared" si="214"/>
        <v>2</v>
      </c>
      <c r="H203" s="26">
        <f t="shared" si="215"/>
        <v>43039</v>
      </c>
      <c r="I203" s="26" t="str">
        <f t="shared" si="216"/>
        <v>Não</v>
      </c>
      <c r="J203" s="26">
        <f t="shared" si="217"/>
        <v>43039</v>
      </c>
      <c r="K203" s="26" t="str">
        <f t="shared" si="216"/>
        <v>Não</v>
      </c>
      <c r="L203" s="26">
        <f t="shared" si="218"/>
        <v>43039</v>
      </c>
      <c r="M203" s="26" t="str">
        <f t="shared" ref="M203" si="228">IF(ISNA(VLOOKUP(L203,$A:$A,1,0)),"Não","Sim")</f>
        <v>Não</v>
      </c>
      <c r="N203" s="26">
        <f t="shared" si="220"/>
        <v>43039</v>
      </c>
    </row>
    <row r="204" spans="1:14" x14ac:dyDescent="0.25">
      <c r="A204" s="39">
        <v>43054</v>
      </c>
      <c r="B204" t="s">
        <v>113</v>
      </c>
      <c r="C204" t="s">
        <v>110</v>
      </c>
      <c r="E204" s="26">
        <v>43040</v>
      </c>
      <c r="F204" s="26">
        <f t="shared" si="213"/>
        <v>43069</v>
      </c>
      <c r="G204" s="19">
        <f t="shared" si="214"/>
        <v>4</v>
      </c>
      <c r="H204" s="26">
        <f t="shared" si="215"/>
        <v>43069</v>
      </c>
      <c r="I204" s="26" t="str">
        <f t="shared" si="216"/>
        <v>Não</v>
      </c>
      <c r="J204" s="26">
        <f t="shared" si="217"/>
        <v>43069</v>
      </c>
      <c r="K204" s="26" t="str">
        <f t="shared" si="216"/>
        <v>Não</v>
      </c>
      <c r="L204" s="26">
        <f t="shared" si="218"/>
        <v>43069</v>
      </c>
      <c r="M204" s="26" t="str">
        <f t="shared" ref="M204" si="229">IF(ISNA(VLOOKUP(L204,$A:$A,1,0)),"Não","Sim")</f>
        <v>Não</v>
      </c>
      <c r="N204" s="26">
        <f t="shared" si="220"/>
        <v>43069</v>
      </c>
    </row>
    <row r="205" spans="1:14" x14ac:dyDescent="0.25">
      <c r="A205" s="39">
        <v>43094</v>
      </c>
      <c r="B205" t="s">
        <v>96</v>
      </c>
      <c r="C205" t="s">
        <v>111</v>
      </c>
      <c r="E205" s="26">
        <v>43070</v>
      </c>
      <c r="F205" s="26">
        <f t="shared" si="213"/>
        <v>43100</v>
      </c>
      <c r="G205" s="19">
        <f t="shared" si="214"/>
        <v>7</v>
      </c>
      <c r="H205" s="26">
        <f t="shared" si="215"/>
        <v>43098</v>
      </c>
      <c r="I205" s="26" t="str">
        <f t="shared" si="216"/>
        <v>Não</v>
      </c>
      <c r="J205" s="26">
        <f t="shared" si="217"/>
        <v>43098</v>
      </c>
      <c r="K205" s="26" t="str">
        <f t="shared" si="216"/>
        <v>Não</v>
      </c>
      <c r="L205" s="26">
        <f t="shared" si="218"/>
        <v>43098</v>
      </c>
      <c r="M205" s="26" t="str">
        <f t="shared" ref="M205" si="230">IF(ISNA(VLOOKUP(L205,$A:$A,1,0)),"Não","Sim")</f>
        <v>Não</v>
      </c>
      <c r="N205" s="26">
        <f t="shared" si="220"/>
        <v>43098</v>
      </c>
    </row>
    <row r="206" spans="1:14" x14ac:dyDescent="0.25">
      <c r="A206" s="39">
        <v>43101</v>
      </c>
      <c r="B206" t="s">
        <v>96</v>
      </c>
      <c r="C206" t="s">
        <v>97</v>
      </c>
      <c r="E206" s="26">
        <v>43101</v>
      </c>
      <c r="F206" s="26">
        <f t="shared" si="213"/>
        <v>43131</v>
      </c>
      <c r="G206" s="19">
        <f t="shared" si="214"/>
        <v>3</v>
      </c>
      <c r="H206" s="26">
        <f t="shared" si="215"/>
        <v>43131</v>
      </c>
      <c r="I206" s="26" t="str">
        <f t="shared" si="216"/>
        <v>Não</v>
      </c>
      <c r="J206" s="26">
        <f t="shared" si="217"/>
        <v>43131</v>
      </c>
      <c r="K206" s="26" t="str">
        <f t="shared" si="216"/>
        <v>Não</v>
      </c>
      <c r="L206" s="26">
        <f t="shared" si="218"/>
        <v>43131</v>
      </c>
      <c r="M206" s="26" t="str">
        <f t="shared" ref="M206" si="231">IF(ISNA(VLOOKUP(L206,$A:$A,1,0)),"Não","Sim")</f>
        <v>Não</v>
      </c>
      <c r="N206" s="26">
        <f t="shared" si="220"/>
        <v>43131</v>
      </c>
    </row>
    <row r="207" spans="1:14" x14ac:dyDescent="0.25">
      <c r="A207" s="39">
        <v>43143</v>
      </c>
      <c r="B207" t="s">
        <v>96</v>
      </c>
      <c r="C207" t="s">
        <v>98</v>
      </c>
      <c r="E207" s="26">
        <v>43132</v>
      </c>
      <c r="F207" s="26">
        <f t="shared" si="213"/>
        <v>43159</v>
      </c>
      <c r="G207" s="19">
        <f t="shared" si="214"/>
        <v>3</v>
      </c>
      <c r="H207" s="26">
        <f t="shared" si="215"/>
        <v>43159</v>
      </c>
      <c r="I207" s="26" t="str">
        <f t="shared" si="216"/>
        <v>Não</v>
      </c>
      <c r="J207" s="26">
        <f t="shared" si="217"/>
        <v>43159</v>
      </c>
      <c r="K207" s="26" t="str">
        <f t="shared" si="216"/>
        <v>Não</v>
      </c>
      <c r="L207" s="26">
        <f t="shared" si="218"/>
        <v>43159</v>
      </c>
      <c r="M207" s="26" t="str">
        <f t="shared" ref="M207" si="232">IF(ISNA(VLOOKUP(L207,$A:$A,1,0)),"Não","Sim")</f>
        <v>Não</v>
      </c>
      <c r="N207" s="26">
        <f t="shared" si="220"/>
        <v>43159</v>
      </c>
    </row>
    <row r="208" spans="1:14" x14ac:dyDescent="0.25">
      <c r="A208" s="39">
        <v>43144</v>
      </c>
      <c r="B208" t="s">
        <v>99</v>
      </c>
      <c r="C208" t="s">
        <v>98</v>
      </c>
      <c r="E208" s="26">
        <v>43160</v>
      </c>
      <c r="F208" s="26">
        <f t="shared" si="213"/>
        <v>43190</v>
      </c>
      <c r="G208" s="19">
        <f t="shared" si="214"/>
        <v>6</v>
      </c>
      <c r="H208" s="26">
        <f t="shared" si="215"/>
        <v>43189</v>
      </c>
      <c r="I208" s="26" t="str">
        <f t="shared" si="216"/>
        <v>Sim</v>
      </c>
      <c r="J208" s="26">
        <f t="shared" si="217"/>
        <v>43188</v>
      </c>
      <c r="K208" s="26" t="str">
        <f t="shared" si="216"/>
        <v>Não</v>
      </c>
      <c r="L208" s="26">
        <f t="shared" si="218"/>
        <v>43188</v>
      </c>
      <c r="M208" s="26" t="str">
        <f t="shared" ref="M208" si="233">IF(ISNA(VLOOKUP(L208,$A:$A,1,0)),"Não","Sim")</f>
        <v>Não</v>
      </c>
      <c r="N208" s="26">
        <f t="shared" si="220"/>
        <v>43188</v>
      </c>
    </row>
    <row r="209" spans="1:14" x14ac:dyDescent="0.25">
      <c r="A209" s="39">
        <v>43189</v>
      </c>
      <c r="B209" t="s">
        <v>100</v>
      </c>
      <c r="C209" t="s">
        <v>101</v>
      </c>
      <c r="E209" s="26">
        <v>43191</v>
      </c>
      <c r="F209" s="26">
        <f t="shared" si="213"/>
        <v>43220</v>
      </c>
      <c r="G209" s="19">
        <f t="shared" si="214"/>
        <v>1</v>
      </c>
      <c r="H209" s="26">
        <f t="shared" si="215"/>
        <v>43220</v>
      </c>
      <c r="I209" s="26" t="str">
        <f t="shared" si="216"/>
        <v>Não</v>
      </c>
      <c r="J209" s="26">
        <f t="shared" si="217"/>
        <v>43220</v>
      </c>
      <c r="K209" s="26" t="str">
        <f t="shared" si="216"/>
        <v>Não</v>
      </c>
      <c r="L209" s="26">
        <f t="shared" si="218"/>
        <v>43220</v>
      </c>
      <c r="M209" s="26" t="str">
        <f t="shared" ref="M209" si="234">IF(ISNA(VLOOKUP(L209,$A:$A,1,0)),"Não","Sim")</f>
        <v>Não</v>
      </c>
      <c r="N209" s="26">
        <f t="shared" si="220"/>
        <v>43220</v>
      </c>
    </row>
    <row r="210" spans="1:14" x14ac:dyDescent="0.25">
      <c r="A210" s="39">
        <v>43211</v>
      </c>
      <c r="B210" t="s">
        <v>102</v>
      </c>
      <c r="C210" t="s">
        <v>103</v>
      </c>
      <c r="E210" s="26">
        <v>43221</v>
      </c>
      <c r="F210" s="26">
        <f t="shared" si="213"/>
        <v>43251</v>
      </c>
      <c r="G210" s="19">
        <f t="shared" si="214"/>
        <v>4</v>
      </c>
      <c r="H210" s="26">
        <f t="shared" si="215"/>
        <v>43251</v>
      </c>
      <c r="I210" s="26" t="str">
        <f t="shared" si="216"/>
        <v>Sim</v>
      </c>
      <c r="J210" s="26">
        <f t="shared" si="217"/>
        <v>43250</v>
      </c>
      <c r="K210" s="26" t="str">
        <f t="shared" si="216"/>
        <v>Não</v>
      </c>
      <c r="L210" s="26">
        <f t="shared" si="218"/>
        <v>43250</v>
      </c>
      <c r="M210" s="26" t="str">
        <f t="shared" ref="M210" si="235">IF(ISNA(VLOOKUP(L210,$A:$A,1,0)),"Não","Sim")</f>
        <v>Não</v>
      </c>
      <c r="N210" s="26">
        <f t="shared" si="220"/>
        <v>43250</v>
      </c>
    </row>
    <row r="211" spans="1:14" x14ac:dyDescent="0.25">
      <c r="A211" s="39">
        <v>43221</v>
      </c>
      <c r="B211" t="s">
        <v>99</v>
      </c>
      <c r="C211" t="s">
        <v>104</v>
      </c>
      <c r="E211" s="26">
        <v>43252</v>
      </c>
      <c r="F211" s="26">
        <f t="shared" si="213"/>
        <v>43281</v>
      </c>
      <c r="G211" s="19">
        <f t="shared" si="214"/>
        <v>6</v>
      </c>
      <c r="H211" s="26">
        <f t="shared" si="215"/>
        <v>43280</v>
      </c>
      <c r="I211" s="26" t="str">
        <f t="shared" si="216"/>
        <v>Não</v>
      </c>
      <c r="J211" s="26">
        <f t="shared" si="217"/>
        <v>43280</v>
      </c>
      <c r="K211" s="26" t="str">
        <f t="shared" si="216"/>
        <v>Não</v>
      </c>
      <c r="L211" s="26">
        <f t="shared" si="218"/>
        <v>43280</v>
      </c>
      <c r="M211" s="26" t="str">
        <f t="shared" ref="M211" si="236">IF(ISNA(VLOOKUP(L211,$A:$A,1,0)),"Não","Sim")</f>
        <v>Não</v>
      </c>
      <c r="N211" s="26">
        <f t="shared" si="220"/>
        <v>43280</v>
      </c>
    </row>
    <row r="212" spans="1:14" x14ac:dyDescent="0.25">
      <c r="A212" s="39">
        <v>43251</v>
      </c>
      <c r="B212" t="s">
        <v>105</v>
      </c>
      <c r="C212" t="s">
        <v>106</v>
      </c>
      <c r="E212" s="26">
        <v>43282</v>
      </c>
      <c r="F212" s="26">
        <f t="shared" si="213"/>
        <v>43312</v>
      </c>
      <c r="G212" s="19">
        <f t="shared" si="214"/>
        <v>2</v>
      </c>
      <c r="H212" s="26">
        <f t="shared" si="215"/>
        <v>43312</v>
      </c>
      <c r="I212" s="26" t="str">
        <f t="shared" si="216"/>
        <v>Não</v>
      </c>
      <c r="J212" s="26">
        <f t="shared" si="217"/>
        <v>43312</v>
      </c>
      <c r="K212" s="26" t="str">
        <f t="shared" si="216"/>
        <v>Não</v>
      </c>
      <c r="L212" s="26">
        <f t="shared" si="218"/>
        <v>43312</v>
      </c>
      <c r="M212" s="26" t="str">
        <f t="shared" ref="M212" si="237">IF(ISNA(VLOOKUP(L212,$A:$A,1,0)),"Não","Sim")</f>
        <v>Não</v>
      </c>
      <c r="N212" s="26">
        <f t="shared" si="220"/>
        <v>43312</v>
      </c>
    </row>
    <row r="213" spans="1:14" x14ac:dyDescent="0.25">
      <c r="A213" s="39">
        <v>43350</v>
      </c>
      <c r="B213" t="s">
        <v>100</v>
      </c>
      <c r="C213" t="s">
        <v>107</v>
      </c>
      <c r="E213" s="26">
        <v>43313</v>
      </c>
      <c r="F213" s="26">
        <f t="shared" si="213"/>
        <v>43343</v>
      </c>
      <c r="G213" s="19">
        <f t="shared" si="214"/>
        <v>5</v>
      </c>
      <c r="H213" s="26">
        <f t="shared" si="215"/>
        <v>43343</v>
      </c>
      <c r="I213" s="26" t="str">
        <f t="shared" si="216"/>
        <v>Não</v>
      </c>
      <c r="J213" s="26">
        <f t="shared" si="217"/>
        <v>43343</v>
      </c>
      <c r="K213" s="26" t="str">
        <f t="shared" si="216"/>
        <v>Não</v>
      </c>
      <c r="L213" s="26">
        <f t="shared" si="218"/>
        <v>43343</v>
      </c>
      <c r="M213" s="26" t="str">
        <f t="shared" ref="M213" si="238">IF(ISNA(VLOOKUP(L213,$A:$A,1,0)),"Não","Sim")</f>
        <v>Não</v>
      </c>
      <c r="N213" s="26">
        <f t="shared" si="220"/>
        <v>43343</v>
      </c>
    </row>
    <row r="214" spans="1:14" x14ac:dyDescent="0.25">
      <c r="A214" s="39">
        <v>43385</v>
      </c>
      <c r="B214" t="s">
        <v>100</v>
      </c>
      <c r="C214" t="s">
        <v>108</v>
      </c>
      <c r="E214" s="26">
        <v>43344</v>
      </c>
      <c r="F214" s="26">
        <f t="shared" si="213"/>
        <v>43373</v>
      </c>
      <c r="G214" s="19">
        <f t="shared" si="214"/>
        <v>7</v>
      </c>
      <c r="H214" s="26">
        <f t="shared" si="215"/>
        <v>43371</v>
      </c>
      <c r="I214" s="26" t="str">
        <f t="shared" si="216"/>
        <v>Não</v>
      </c>
      <c r="J214" s="26">
        <f t="shared" si="217"/>
        <v>43371</v>
      </c>
      <c r="K214" s="26" t="str">
        <f t="shared" si="216"/>
        <v>Não</v>
      </c>
      <c r="L214" s="26">
        <f t="shared" si="218"/>
        <v>43371</v>
      </c>
      <c r="M214" s="26" t="str">
        <f t="shared" ref="M214" si="239">IF(ISNA(VLOOKUP(L214,$A:$A,1,0)),"Não","Sim")</f>
        <v>Não</v>
      </c>
      <c r="N214" s="26">
        <f t="shared" si="220"/>
        <v>43371</v>
      </c>
    </row>
    <row r="215" spans="1:14" x14ac:dyDescent="0.25">
      <c r="A215" s="39">
        <v>43406</v>
      </c>
      <c r="B215" t="s">
        <v>100</v>
      </c>
      <c r="C215" t="s">
        <v>109</v>
      </c>
      <c r="E215" s="26">
        <v>43374</v>
      </c>
      <c r="F215" s="26">
        <f t="shared" si="213"/>
        <v>43404</v>
      </c>
      <c r="G215" s="19">
        <f t="shared" si="214"/>
        <v>3</v>
      </c>
      <c r="H215" s="26">
        <f t="shared" si="215"/>
        <v>43404</v>
      </c>
      <c r="I215" s="26" t="str">
        <f t="shared" si="216"/>
        <v>Não</v>
      </c>
      <c r="J215" s="26">
        <f t="shared" si="217"/>
        <v>43404</v>
      </c>
      <c r="K215" s="26" t="str">
        <f t="shared" si="216"/>
        <v>Não</v>
      </c>
      <c r="L215" s="26">
        <f t="shared" si="218"/>
        <v>43404</v>
      </c>
      <c r="M215" s="26" t="str">
        <f t="shared" ref="M215" si="240">IF(ISNA(VLOOKUP(L215,$A:$A,1,0)),"Não","Sim")</f>
        <v>Não</v>
      </c>
      <c r="N215" s="26">
        <f t="shared" si="220"/>
        <v>43404</v>
      </c>
    </row>
    <row r="216" spans="1:14" x14ac:dyDescent="0.25">
      <c r="A216" s="39">
        <v>43419</v>
      </c>
      <c r="B216" t="s">
        <v>105</v>
      </c>
      <c r="C216" t="s">
        <v>110</v>
      </c>
      <c r="E216" s="26">
        <v>43405</v>
      </c>
      <c r="F216" s="26">
        <f t="shared" si="213"/>
        <v>43434</v>
      </c>
      <c r="G216" s="19">
        <f t="shared" si="214"/>
        <v>5</v>
      </c>
      <c r="H216" s="26">
        <f t="shared" si="215"/>
        <v>43434</v>
      </c>
      <c r="I216" s="26" t="str">
        <f t="shared" si="216"/>
        <v>Não</v>
      </c>
      <c r="J216" s="26">
        <f t="shared" si="217"/>
        <v>43434</v>
      </c>
      <c r="K216" s="26" t="str">
        <f t="shared" si="216"/>
        <v>Não</v>
      </c>
      <c r="L216" s="26">
        <f t="shared" si="218"/>
        <v>43434</v>
      </c>
      <c r="M216" s="26" t="str">
        <f t="shared" ref="M216" si="241">IF(ISNA(VLOOKUP(L216,$A:$A,1,0)),"Não","Sim")</f>
        <v>Não</v>
      </c>
      <c r="N216" s="26">
        <f t="shared" si="220"/>
        <v>43434</v>
      </c>
    </row>
    <row r="217" spans="1:14" x14ac:dyDescent="0.25">
      <c r="A217" s="39">
        <v>43459</v>
      </c>
      <c r="B217" t="s">
        <v>99</v>
      </c>
      <c r="C217" t="s">
        <v>111</v>
      </c>
      <c r="E217" s="26">
        <v>43435</v>
      </c>
      <c r="F217" s="26">
        <f t="shared" si="213"/>
        <v>43465</v>
      </c>
      <c r="G217" s="19">
        <f t="shared" si="214"/>
        <v>1</v>
      </c>
      <c r="H217" s="26">
        <f t="shared" si="215"/>
        <v>43465</v>
      </c>
      <c r="I217" s="26" t="str">
        <f t="shared" si="216"/>
        <v>Não</v>
      </c>
      <c r="J217" s="26">
        <f t="shared" si="217"/>
        <v>43465</v>
      </c>
      <c r="K217" s="26" t="str">
        <f t="shared" si="216"/>
        <v>Não</v>
      </c>
      <c r="L217" s="26">
        <f t="shared" si="218"/>
        <v>43465</v>
      </c>
      <c r="M217" s="26" t="str">
        <f t="shared" ref="M217" si="242">IF(ISNA(VLOOKUP(L217,$A:$A,1,0)),"Não","Sim")</f>
        <v>Não</v>
      </c>
      <c r="N217" s="26">
        <f t="shared" si="220"/>
        <v>43465</v>
      </c>
    </row>
    <row r="218" spans="1:14" x14ac:dyDescent="0.25">
      <c r="A218" s="39">
        <v>43466</v>
      </c>
      <c r="B218" t="s">
        <v>99</v>
      </c>
      <c r="C218" t="s">
        <v>97</v>
      </c>
      <c r="E218" s="26">
        <v>43466</v>
      </c>
      <c r="F218" s="26">
        <f t="shared" si="213"/>
        <v>43496</v>
      </c>
      <c r="G218" s="19">
        <f t="shared" si="214"/>
        <v>4</v>
      </c>
      <c r="H218" s="26">
        <f t="shared" si="215"/>
        <v>43496</v>
      </c>
      <c r="I218" s="26" t="str">
        <f t="shared" si="216"/>
        <v>Não</v>
      </c>
      <c r="J218" s="26">
        <f t="shared" si="217"/>
        <v>43496</v>
      </c>
      <c r="K218" s="26" t="str">
        <f t="shared" si="216"/>
        <v>Não</v>
      </c>
      <c r="L218" s="26">
        <f t="shared" si="218"/>
        <v>43496</v>
      </c>
      <c r="M218" s="26" t="str">
        <f t="shared" ref="M218" si="243">IF(ISNA(VLOOKUP(L218,$A:$A,1,0)),"Não","Sim")</f>
        <v>Não</v>
      </c>
      <c r="N218" s="26">
        <f t="shared" si="220"/>
        <v>43496</v>
      </c>
    </row>
    <row r="219" spans="1:14" x14ac:dyDescent="0.25">
      <c r="A219" s="39">
        <v>43528</v>
      </c>
      <c r="B219" t="s">
        <v>96</v>
      </c>
      <c r="C219" t="s">
        <v>98</v>
      </c>
      <c r="E219" s="26">
        <v>43497</v>
      </c>
      <c r="F219" s="26">
        <f t="shared" si="213"/>
        <v>43524</v>
      </c>
      <c r="G219" s="19">
        <f t="shared" si="214"/>
        <v>4</v>
      </c>
      <c r="H219" s="26">
        <f t="shared" si="215"/>
        <v>43524</v>
      </c>
      <c r="I219" s="26" t="str">
        <f t="shared" si="216"/>
        <v>Não</v>
      </c>
      <c r="J219" s="26">
        <f t="shared" si="217"/>
        <v>43524</v>
      </c>
      <c r="K219" s="26" t="str">
        <f t="shared" si="216"/>
        <v>Não</v>
      </c>
      <c r="L219" s="26">
        <f t="shared" si="218"/>
        <v>43524</v>
      </c>
      <c r="M219" s="26" t="str">
        <f t="shared" ref="M219" si="244">IF(ISNA(VLOOKUP(L219,$A:$A,1,0)),"Não","Sim")</f>
        <v>Não</v>
      </c>
      <c r="N219" s="26">
        <f t="shared" si="220"/>
        <v>43524</v>
      </c>
    </row>
    <row r="220" spans="1:14" x14ac:dyDescent="0.25">
      <c r="A220" s="39">
        <v>43529</v>
      </c>
      <c r="B220" t="s">
        <v>99</v>
      </c>
      <c r="C220" t="s">
        <v>98</v>
      </c>
      <c r="E220" s="26">
        <v>43525</v>
      </c>
      <c r="F220" s="26">
        <f t="shared" si="213"/>
        <v>43555</v>
      </c>
      <c r="G220" s="19">
        <f t="shared" si="214"/>
        <v>7</v>
      </c>
      <c r="H220" s="26">
        <f t="shared" si="215"/>
        <v>43553</v>
      </c>
      <c r="I220" s="26" t="str">
        <f t="shared" si="216"/>
        <v>Não</v>
      </c>
      <c r="J220" s="26">
        <f t="shared" si="217"/>
        <v>43553</v>
      </c>
      <c r="K220" s="26" t="str">
        <f t="shared" si="216"/>
        <v>Não</v>
      </c>
      <c r="L220" s="26">
        <f t="shared" si="218"/>
        <v>43553</v>
      </c>
      <c r="M220" s="26" t="str">
        <f t="shared" ref="M220" si="245">IF(ISNA(VLOOKUP(L220,$A:$A,1,0)),"Não","Sim")</f>
        <v>Não</v>
      </c>
      <c r="N220" s="26">
        <f t="shared" si="220"/>
        <v>43553</v>
      </c>
    </row>
    <row r="221" spans="1:14" x14ac:dyDescent="0.25">
      <c r="A221" s="39">
        <v>43574</v>
      </c>
      <c r="B221" t="s">
        <v>100</v>
      </c>
      <c r="C221" t="s">
        <v>101</v>
      </c>
      <c r="E221" s="26">
        <v>43556</v>
      </c>
      <c r="F221" s="26">
        <f t="shared" si="213"/>
        <v>43585</v>
      </c>
      <c r="G221" s="19">
        <f t="shared" si="214"/>
        <v>2</v>
      </c>
      <c r="H221" s="26">
        <f t="shared" si="215"/>
        <v>43585</v>
      </c>
      <c r="I221" s="26" t="str">
        <f t="shared" si="216"/>
        <v>Não</v>
      </c>
      <c r="J221" s="26">
        <f t="shared" si="217"/>
        <v>43585</v>
      </c>
      <c r="K221" s="26" t="str">
        <f t="shared" si="216"/>
        <v>Não</v>
      </c>
      <c r="L221" s="26">
        <f t="shared" si="218"/>
        <v>43585</v>
      </c>
      <c r="M221" s="26" t="str">
        <f t="shared" ref="M221" si="246">IF(ISNA(VLOOKUP(L221,$A:$A,1,0)),"Não","Sim")</f>
        <v>Não</v>
      </c>
      <c r="N221" s="26">
        <f t="shared" si="220"/>
        <v>43585</v>
      </c>
    </row>
    <row r="222" spans="1:14" x14ac:dyDescent="0.25">
      <c r="A222" s="39">
        <v>43576</v>
      </c>
      <c r="B222" t="s">
        <v>112</v>
      </c>
      <c r="C222" t="s">
        <v>103</v>
      </c>
      <c r="E222" s="26">
        <v>43586</v>
      </c>
      <c r="F222" s="26">
        <f t="shared" si="213"/>
        <v>43616</v>
      </c>
      <c r="G222" s="19">
        <f t="shared" si="214"/>
        <v>5</v>
      </c>
      <c r="H222" s="26">
        <f t="shared" si="215"/>
        <v>43616</v>
      </c>
      <c r="I222" s="26" t="str">
        <f t="shared" si="216"/>
        <v>Não</v>
      </c>
      <c r="J222" s="26">
        <f t="shared" si="217"/>
        <v>43616</v>
      </c>
      <c r="K222" s="26" t="str">
        <f t="shared" si="216"/>
        <v>Não</v>
      </c>
      <c r="L222" s="26">
        <f t="shared" si="218"/>
        <v>43616</v>
      </c>
      <c r="M222" s="26" t="str">
        <f t="shared" ref="M222" si="247">IF(ISNA(VLOOKUP(L222,$A:$A,1,0)),"Não","Sim")</f>
        <v>Não</v>
      </c>
      <c r="N222" s="26">
        <f t="shared" si="220"/>
        <v>43616</v>
      </c>
    </row>
    <row r="223" spans="1:14" x14ac:dyDescent="0.25">
      <c r="A223" s="39">
        <v>43586</v>
      </c>
      <c r="B223" t="s">
        <v>113</v>
      </c>
      <c r="C223" t="s">
        <v>104</v>
      </c>
      <c r="E223" s="26">
        <v>43617</v>
      </c>
      <c r="F223" s="26">
        <f t="shared" si="213"/>
        <v>43646</v>
      </c>
      <c r="G223" s="19">
        <f t="shared" si="214"/>
        <v>7</v>
      </c>
      <c r="H223" s="26">
        <f t="shared" si="215"/>
        <v>43644</v>
      </c>
      <c r="I223" s="26" t="str">
        <f t="shared" si="216"/>
        <v>Não</v>
      </c>
      <c r="J223" s="26">
        <f t="shared" si="217"/>
        <v>43644</v>
      </c>
      <c r="K223" s="26" t="str">
        <f t="shared" si="216"/>
        <v>Não</v>
      </c>
      <c r="L223" s="26">
        <f t="shared" si="218"/>
        <v>43644</v>
      </c>
      <c r="M223" s="26" t="str">
        <f t="shared" ref="M223" si="248">IF(ISNA(VLOOKUP(L223,$A:$A,1,0)),"Não","Sim")</f>
        <v>Não</v>
      </c>
      <c r="N223" s="26">
        <f t="shared" si="220"/>
        <v>43644</v>
      </c>
    </row>
    <row r="224" spans="1:14" x14ac:dyDescent="0.25">
      <c r="A224" s="39">
        <v>43636</v>
      </c>
      <c r="B224" t="s">
        <v>105</v>
      </c>
      <c r="C224" t="s">
        <v>106</v>
      </c>
      <c r="E224" s="26">
        <v>43647</v>
      </c>
      <c r="F224" s="26">
        <f t="shared" si="213"/>
        <v>43677</v>
      </c>
      <c r="G224" s="19">
        <f t="shared" si="214"/>
        <v>3</v>
      </c>
      <c r="H224" s="26">
        <f t="shared" si="215"/>
        <v>43677</v>
      </c>
      <c r="I224" s="26" t="str">
        <f t="shared" si="216"/>
        <v>Não</v>
      </c>
      <c r="J224" s="26">
        <f t="shared" si="217"/>
        <v>43677</v>
      </c>
      <c r="K224" s="26" t="str">
        <f t="shared" si="216"/>
        <v>Não</v>
      </c>
      <c r="L224" s="26">
        <f t="shared" si="218"/>
        <v>43677</v>
      </c>
      <c r="M224" s="26" t="str">
        <f t="shared" ref="M224" si="249">IF(ISNA(VLOOKUP(L224,$A:$A,1,0)),"Não","Sim")</f>
        <v>Não</v>
      </c>
      <c r="N224" s="26">
        <f t="shared" si="220"/>
        <v>43677</v>
      </c>
    </row>
    <row r="225" spans="1:14" x14ac:dyDescent="0.25">
      <c r="A225" s="39">
        <v>43715</v>
      </c>
      <c r="B225" t="s">
        <v>102</v>
      </c>
      <c r="C225" t="s">
        <v>107</v>
      </c>
      <c r="E225" s="26">
        <v>43678</v>
      </c>
      <c r="F225" s="26">
        <f t="shared" si="213"/>
        <v>43708</v>
      </c>
      <c r="G225" s="19">
        <f t="shared" si="214"/>
        <v>6</v>
      </c>
      <c r="H225" s="26">
        <f t="shared" si="215"/>
        <v>43707</v>
      </c>
      <c r="I225" s="26" t="str">
        <f t="shared" si="216"/>
        <v>Não</v>
      </c>
      <c r="J225" s="26">
        <f t="shared" si="217"/>
        <v>43707</v>
      </c>
      <c r="K225" s="26" t="str">
        <f t="shared" si="216"/>
        <v>Não</v>
      </c>
      <c r="L225" s="26">
        <f t="shared" si="218"/>
        <v>43707</v>
      </c>
      <c r="M225" s="26" t="str">
        <f t="shared" ref="M225" si="250">IF(ISNA(VLOOKUP(L225,$A:$A,1,0)),"Não","Sim")</f>
        <v>Não</v>
      </c>
      <c r="N225" s="26">
        <f t="shared" si="220"/>
        <v>43707</v>
      </c>
    </row>
    <row r="226" spans="1:14" x14ac:dyDescent="0.25">
      <c r="A226" s="39">
        <v>43750</v>
      </c>
      <c r="B226" t="s">
        <v>102</v>
      </c>
      <c r="C226" t="s">
        <v>108</v>
      </c>
      <c r="E226" s="26">
        <v>43709</v>
      </c>
      <c r="F226" s="26">
        <f t="shared" si="213"/>
        <v>43738</v>
      </c>
      <c r="G226" s="19">
        <f t="shared" si="214"/>
        <v>1</v>
      </c>
      <c r="H226" s="26">
        <f t="shared" si="215"/>
        <v>43738</v>
      </c>
      <c r="I226" s="26" t="str">
        <f t="shared" si="216"/>
        <v>Não</v>
      </c>
      <c r="J226" s="26">
        <f t="shared" si="217"/>
        <v>43738</v>
      </c>
      <c r="K226" s="26" t="str">
        <f t="shared" si="216"/>
        <v>Não</v>
      </c>
      <c r="L226" s="26">
        <f t="shared" si="218"/>
        <v>43738</v>
      </c>
      <c r="M226" s="26" t="str">
        <f t="shared" ref="M226" si="251">IF(ISNA(VLOOKUP(L226,$A:$A,1,0)),"Não","Sim")</f>
        <v>Não</v>
      </c>
      <c r="N226" s="26">
        <f t="shared" si="220"/>
        <v>43738</v>
      </c>
    </row>
    <row r="227" spans="1:14" x14ac:dyDescent="0.25">
      <c r="A227" s="39">
        <v>43771</v>
      </c>
      <c r="B227" t="s">
        <v>102</v>
      </c>
      <c r="C227" t="s">
        <v>109</v>
      </c>
      <c r="E227" s="26">
        <v>43739</v>
      </c>
      <c r="F227" s="26">
        <f t="shared" si="213"/>
        <v>43769</v>
      </c>
      <c r="G227" s="19">
        <f t="shared" si="214"/>
        <v>4</v>
      </c>
      <c r="H227" s="26">
        <f t="shared" si="215"/>
        <v>43769</v>
      </c>
      <c r="I227" s="26" t="str">
        <f t="shared" si="216"/>
        <v>Não</v>
      </c>
      <c r="J227" s="26">
        <f t="shared" si="217"/>
        <v>43769</v>
      </c>
      <c r="K227" s="26" t="str">
        <f t="shared" si="216"/>
        <v>Não</v>
      </c>
      <c r="L227" s="26">
        <f t="shared" si="218"/>
        <v>43769</v>
      </c>
      <c r="M227" s="26" t="str">
        <f t="shared" ref="M227" si="252">IF(ISNA(VLOOKUP(L227,$A:$A,1,0)),"Não","Sim")</f>
        <v>Não</v>
      </c>
      <c r="N227" s="26">
        <f t="shared" si="220"/>
        <v>43769</v>
      </c>
    </row>
    <row r="228" spans="1:14" x14ac:dyDescent="0.25">
      <c r="A228" s="39">
        <v>43784</v>
      </c>
      <c r="B228" t="s">
        <v>100</v>
      </c>
      <c r="C228" t="s">
        <v>110</v>
      </c>
      <c r="E228" s="26">
        <v>43770</v>
      </c>
      <c r="F228" s="26">
        <f t="shared" si="213"/>
        <v>43799</v>
      </c>
      <c r="G228" s="19">
        <f t="shared" si="214"/>
        <v>6</v>
      </c>
      <c r="H228" s="26">
        <f t="shared" si="215"/>
        <v>43798</v>
      </c>
      <c r="I228" s="26" t="str">
        <f t="shared" si="216"/>
        <v>Não</v>
      </c>
      <c r="J228" s="26">
        <f t="shared" si="217"/>
        <v>43798</v>
      </c>
      <c r="K228" s="26" t="str">
        <f t="shared" si="216"/>
        <v>Não</v>
      </c>
      <c r="L228" s="26">
        <f t="shared" si="218"/>
        <v>43798</v>
      </c>
      <c r="M228" s="26" t="str">
        <f t="shared" ref="M228" si="253">IF(ISNA(VLOOKUP(L228,$A:$A,1,0)),"Não","Sim")</f>
        <v>Não</v>
      </c>
      <c r="N228" s="26">
        <f t="shared" si="220"/>
        <v>43798</v>
      </c>
    </row>
    <row r="229" spans="1:14" x14ac:dyDescent="0.25">
      <c r="A229" s="39">
        <v>43824</v>
      </c>
      <c r="B229" t="s">
        <v>113</v>
      </c>
      <c r="C229" t="s">
        <v>111</v>
      </c>
      <c r="E229" s="26">
        <v>43800</v>
      </c>
      <c r="F229" s="26">
        <f t="shared" si="213"/>
        <v>43830</v>
      </c>
      <c r="G229" s="19">
        <f t="shared" si="214"/>
        <v>2</v>
      </c>
      <c r="H229" s="26">
        <f t="shared" si="215"/>
        <v>43830</v>
      </c>
      <c r="I229" s="26" t="str">
        <f t="shared" si="216"/>
        <v>Não</v>
      </c>
      <c r="J229" s="26">
        <f t="shared" si="217"/>
        <v>43830</v>
      </c>
      <c r="K229" s="26" t="str">
        <f t="shared" si="216"/>
        <v>Não</v>
      </c>
      <c r="L229" s="26">
        <f t="shared" si="218"/>
        <v>43830</v>
      </c>
      <c r="M229" s="26" t="str">
        <f t="shared" ref="M229" si="254">IF(ISNA(VLOOKUP(L229,$A:$A,1,0)),"Não","Sim")</f>
        <v>Não</v>
      </c>
      <c r="N229" s="26">
        <f t="shared" si="220"/>
        <v>43830</v>
      </c>
    </row>
    <row r="230" spans="1:14" x14ac:dyDescent="0.25">
      <c r="A230" s="39">
        <v>43831</v>
      </c>
      <c r="B230" t="s">
        <v>113</v>
      </c>
      <c r="C230" t="s">
        <v>97</v>
      </c>
      <c r="E230" s="26">
        <v>43831</v>
      </c>
      <c r="F230" s="26">
        <f t="shared" si="213"/>
        <v>43861</v>
      </c>
      <c r="G230" s="19">
        <f t="shared" si="214"/>
        <v>5</v>
      </c>
      <c r="H230" s="26">
        <f t="shared" si="215"/>
        <v>43861</v>
      </c>
      <c r="I230" s="26" t="str">
        <f t="shared" si="216"/>
        <v>Não</v>
      </c>
      <c r="J230" s="26">
        <f t="shared" si="217"/>
        <v>43861</v>
      </c>
      <c r="K230" s="26" t="str">
        <f t="shared" si="216"/>
        <v>Não</v>
      </c>
      <c r="L230" s="26">
        <f t="shared" si="218"/>
        <v>43861</v>
      </c>
      <c r="M230" s="26" t="str">
        <f t="shared" ref="M230" si="255">IF(ISNA(VLOOKUP(L230,$A:$A,1,0)),"Não","Sim")</f>
        <v>Não</v>
      </c>
      <c r="N230" s="26">
        <f t="shared" si="220"/>
        <v>43861</v>
      </c>
    </row>
    <row r="231" spans="1:14" x14ac:dyDescent="0.25">
      <c r="A231" s="39">
        <v>43885</v>
      </c>
      <c r="B231" t="s">
        <v>96</v>
      </c>
      <c r="C231" t="s">
        <v>98</v>
      </c>
      <c r="E231" s="26">
        <v>43862</v>
      </c>
      <c r="F231" s="26">
        <f t="shared" si="213"/>
        <v>43890</v>
      </c>
      <c r="G231" s="19">
        <f t="shared" si="214"/>
        <v>6</v>
      </c>
      <c r="H231" s="26">
        <f t="shared" si="215"/>
        <v>43889</v>
      </c>
      <c r="I231" s="26" t="str">
        <f t="shared" si="216"/>
        <v>Não</v>
      </c>
      <c r="J231" s="26">
        <f t="shared" si="217"/>
        <v>43889</v>
      </c>
      <c r="K231" s="26" t="str">
        <f t="shared" si="216"/>
        <v>Não</v>
      </c>
      <c r="L231" s="26">
        <f t="shared" si="218"/>
        <v>43889</v>
      </c>
      <c r="M231" s="26" t="str">
        <f t="shared" ref="M231" si="256">IF(ISNA(VLOOKUP(L231,$A:$A,1,0)),"Não","Sim")</f>
        <v>Não</v>
      </c>
      <c r="N231" s="26">
        <f t="shared" si="220"/>
        <v>43889</v>
      </c>
    </row>
    <row r="232" spans="1:14" x14ac:dyDescent="0.25">
      <c r="A232" s="39">
        <v>43886</v>
      </c>
      <c r="B232" t="s">
        <v>99</v>
      </c>
      <c r="C232" t="s">
        <v>98</v>
      </c>
      <c r="E232" s="26">
        <v>43891</v>
      </c>
      <c r="F232" s="26">
        <f t="shared" si="213"/>
        <v>43921</v>
      </c>
      <c r="G232" s="19">
        <f t="shared" si="214"/>
        <v>2</v>
      </c>
      <c r="H232" s="26">
        <f t="shared" si="215"/>
        <v>43921</v>
      </c>
      <c r="I232" s="26" t="str">
        <f t="shared" si="216"/>
        <v>Não</v>
      </c>
      <c r="J232" s="26">
        <f t="shared" si="217"/>
        <v>43921</v>
      </c>
      <c r="K232" s="26" t="str">
        <f t="shared" si="216"/>
        <v>Não</v>
      </c>
      <c r="L232" s="26">
        <f t="shared" si="218"/>
        <v>43921</v>
      </c>
      <c r="M232" s="26" t="str">
        <f t="shared" ref="M232" si="257">IF(ISNA(VLOOKUP(L232,$A:$A,1,0)),"Não","Sim")</f>
        <v>Não</v>
      </c>
      <c r="N232" s="26">
        <f t="shared" si="220"/>
        <v>43921</v>
      </c>
    </row>
    <row r="233" spans="1:14" x14ac:dyDescent="0.25">
      <c r="A233" s="39">
        <v>43931</v>
      </c>
      <c r="B233" t="s">
        <v>100</v>
      </c>
      <c r="C233" t="s">
        <v>101</v>
      </c>
      <c r="E233" s="26">
        <v>43922</v>
      </c>
      <c r="F233" s="26">
        <f t="shared" si="213"/>
        <v>43951</v>
      </c>
      <c r="G233" s="19">
        <f t="shared" si="214"/>
        <v>4</v>
      </c>
      <c r="H233" s="26">
        <f t="shared" si="215"/>
        <v>43951</v>
      </c>
      <c r="I233" s="26" t="str">
        <f t="shared" si="216"/>
        <v>Não</v>
      </c>
      <c r="J233" s="26">
        <f t="shared" si="217"/>
        <v>43951</v>
      </c>
      <c r="K233" s="26" t="str">
        <f t="shared" si="216"/>
        <v>Não</v>
      </c>
      <c r="L233" s="26">
        <f t="shared" si="218"/>
        <v>43951</v>
      </c>
      <c r="M233" s="26" t="str">
        <f t="shared" ref="M233" si="258">IF(ISNA(VLOOKUP(L233,$A:$A,1,0)),"Não","Sim")</f>
        <v>Não</v>
      </c>
      <c r="N233" s="26">
        <f t="shared" si="220"/>
        <v>43951</v>
      </c>
    </row>
    <row r="234" spans="1:14" x14ac:dyDescent="0.25">
      <c r="A234" s="39">
        <v>43942</v>
      </c>
      <c r="B234" t="s">
        <v>99</v>
      </c>
      <c r="C234" t="s">
        <v>103</v>
      </c>
      <c r="E234" s="26">
        <v>43952</v>
      </c>
      <c r="F234" s="26">
        <f t="shared" si="213"/>
        <v>43982</v>
      </c>
      <c r="G234" s="19">
        <f t="shared" si="214"/>
        <v>7</v>
      </c>
      <c r="H234" s="26">
        <f t="shared" si="215"/>
        <v>43980</v>
      </c>
      <c r="I234" s="26" t="str">
        <f t="shared" si="216"/>
        <v>Não</v>
      </c>
      <c r="J234" s="26">
        <f t="shared" si="217"/>
        <v>43980</v>
      </c>
      <c r="K234" s="26" t="str">
        <f t="shared" si="216"/>
        <v>Não</v>
      </c>
      <c r="L234" s="26">
        <f t="shared" si="218"/>
        <v>43980</v>
      </c>
      <c r="M234" s="26" t="str">
        <f t="shared" ref="M234" si="259">IF(ISNA(VLOOKUP(L234,$A:$A,1,0)),"Não","Sim")</f>
        <v>Não</v>
      </c>
      <c r="N234" s="26">
        <f t="shared" si="220"/>
        <v>43980</v>
      </c>
    </row>
    <row r="235" spans="1:14" x14ac:dyDescent="0.25">
      <c r="A235" s="39">
        <v>43952</v>
      </c>
      <c r="B235" t="s">
        <v>100</v>
      </c>
      <c r="C235" t="s">
        <v>104</v>
      </c>
      <c r="E235" s="26">
        <v>43983</v>
      </c>
      <c r="F235" s="26">
        <f t="shared" si="213"/>
        <v>44012</v>
      </c>
      <c r="G235" s="19">
        <f t="shared" si="214"/>
        <v>2</v>
      </c>
      <c r="H235" s="26">
        <f t="shared" si="215"/>
        <v>44012</v>
      </c>
      <c r="I235" s="26" t="str">
        <f t="shared" si="216"/>
        <v>Não</v>
      </c>
      <c r="J235" s="26">
        <f t="shared" si="217"/>
        <v>44012</v>
      </c>
      <c r="K235" s="26" t="str">
        <f t="shared" si="216"/>
        <v>Não</v>
      </c>
      <c r="L235" s="26">
        <f t="shared" si="218"/>
        <v>44012</v>
      </c>
      <c r="M235" s="26" t="str">
        <f t="shared" ref="M235" si="260">IF(ISNA(VLOOKUP(L235,$A:$A,1,0)),"Não","Sim")</f>
        <v>Não</v>
      </c>
      <c r="N235" s="26">
        <f t="shared" si="220"/>
        <v>44012</v>
      </c>
    </row>
    <row r="236" spans="1:14" x14ac:dyDescent="0.25">
      <c r="A236" s="39">
        <v>43993</v>
      </c>
      <c r="B236" t="s">
        <v>105</v>
      </c>
      <c r="C236" t="s">
        <v>106</v>
      </c>
      <c r="E236" s="26">
        <v>44013</v>
      </c>
      <c r="F236" s="26">
        <f t="shared" si="213"/>
        <v>44043</v>
      </c>
      <c r="G236" s="19">
        <f t="shared" si="214"/>
        <v>5</v>
      </c>
      <c r="H236" s="26">
        <f t="shared" si="215"/>
        <v>44043</v>
      </c>
      <c r="I236" s="26" t="str">
        <f t="shared" si="216"/>
        <v>Não</v>
      </c>
      <c r="J236" s="26">
        <f t="shared" si="217"/>
        <v>44043</v>
      </c>
      <c r="K236" s="26" t="str">
        <f t="shared" si="216"/>
        <v>Não</v>
      </c>
      <c r="L236" s="26">
        <f t="shared" si="218"/>
        <v>44043</v>
      </c>
      <c r="M236" s="26" t="str">
        <f t="shared" ref="M236" si="261">IF(ISNA(VLOOKUP(L236,$A:$A,1,0)),"Não","Sim")</f>
        <v>Não</v>
      </c>
      <c r="N236" s="26">
        <f t="shared" si="220"/>
        <v>44043</v>
      </c>
    </row>
    <row r="237" spans="1:14" x14ac:dyDescent="0.25">
      <c r="A237" s="39">
        <v>44081</v>
      </c>
      <c r="B237" t="s">
        <v>96</v>
      </c>
      <c r="C237" t="s">
        <v>107</v>
      </c>
      <c r="E237" s="26">
        <v>44044</v>
      </c>
      <c r="F237" s="26">
        <f t="shared" si="213"/>
        <v>44074</v>
      </c>
      <c r="G237" s="19">
        <f t="shared" si="214"/>
        <v>1</v>
      </c>
      <c r="H237" s="26">
        <f t="shared" si="215"/>
        <v>44074</v>
      </c>
      <c r="I237" s="26" t="str">
        <f t="shared" si="216"/>
        <v>Não</v>
      </c>
      <c r="J237" s="26">
        <f t="shared" si="217"/>
        <v>44074</v>
      </c>
      <c r="K237" s="26" t="str">
        <f t="shared" si="216"/>
        <v>Não</v>
      </c>
      <c r="L237" s="26">
        <f t="shared" si="218"/>
        <v>44074</v>
      </c>
      <c r="M237" s="26" t="str">
        <f t="shared" ref="M237" si="262">IF(ISNA(VLOOKUP(L237,$A:$A,1,0)),"Não","Sim")</f>
        <v>Não</v>
      </c>
      <c r="N237" s="26">
        <f t="shared" si="220"/>
        <v>44074</v>
      </c>
    </row>
    <row r="238" spans="1:14" x14ac:dyDescent="0.25">
      <c r="A238" s="39">
        <v>44116</v>
      </c>
      <c r="B238" t="s">
        <v>96</v>
      </c>
      <c r="C238" t="s">
        <v>108</v>
      </c>
      <c r="E238" s="26">
        <v>44075</v>
      </c>
      <c r="F238" s="26">
        <f t="shared" si="213"/>
        <v>44104</v>
      </c>
      <c r="G238" s="19">
        <f t="shared" si="214"/>
        <v>3</v>
      </c>
      <c r="H238" s="26">
        <f t="shared" si="215"/>
        <v>44104</v>
      </c>
      <c r="I238" s="26" t="str">
        <f t="shared" si="216"/>
        <v>Não</v>
      </c>
      <c r="J238" s="26">
        <f t="shared" si="217"/>
        <v>44104</v>
      </c>
      <c r="K238" s="26" t="str">
        <f t="shared" si="216"/>
        <v>Não</v>
      </c>
      <c r="L238" s="26">
        <f t="shared" si="218"/>
        <v>44104</v>
      </c>
      <c r="M238" s="26" t="str">
        <f t="shared" ref="M238" si="263">IF(ISNA(VLOOKUP(L238,$A:$A,1,0)),"Não","Sim")</f>
        <v>Não</v>
      </c>
      <c r="N238" s="26">
        <f t="shared" si="220"/>
        <v>44104</v>
      </c>
    </row>
    <row r="239" spans="1:14" x14ac:dyDescent="0.25">
      <c r="A239" s="39">
        <v>44137</v>
      </c>
      <c r="B239" t="s">
        <v>96</v>
      </c>
      <c r="C239" t="s">
        <v>109</v>
      </c>
      <c r="E239" s="26">
        <v>44105</v>
      </c>
      <c r="F239" s="26">
        <f t="shared" si="213"/>
        <v>44135</v>
      </c>
      <c r="G239" s="19">
        <f t="shared" si="214"/>
        <v>6</v>
      </c>
      <c r="H239" s="26">
        <f t="shared" si="215"/>
        <v>44134</v>
      </c>
      <c r="I239" s="26" t="str">
        <f t="shared" si="216"/>
        <v>Não</v>
      </c>
      <c r="J239" s="26">
        <f t="shared" si="217"/>
        <v>44134</v>
      </c>
      <c r="K239" s="26" t="str">
        <f t="shared" si="216"/>
        <v>Não</v>
      </c>
      <c r="L239" s="26">
        <f t="shared" si="218"/>
        <v>44134</v>
      </c>
      <c r="M239" s="26" t="str">
        <f t="shared" ref="M239" si="264">IF(ISNA(VLOOKUP(L239,$A:$A,1,0)),"Não","Sim")</f>
        <v>Não</v>
      </c>
      <c r="N239" s="26">
        <f t="shared" si="220"/>
        <v>44134</v>
      </c>
    </row>
    <row r="240" spans="1:14" x14ac:dyDescent="0.25">
      <c r="A240" s="39">
        <v>44150</v>
      </c>
      <c r="B240" t="s">
        <v>112</v>
      </c>
      <c r="C240" t="s">
        <v>110</v>
      </c>
      <c r="E240" s="26">
        <v>44136</v>
      </c>
      <c r="F240" s="26">
        <f t="shared" si="213"/>
        <v>44165</v>
      </c>
      <c r="G240" s="19">
        <f t="shared" si="214"/>
        <v>1</v>
      </c>
      <c r="H240" s="26">
        <f t="shared" si="215"/>
        <v>44165</v>
      </c>
      <c r="I240" s="26" t="str">
        <f t="shared" si="216"/>
        <v>Não</v>
      </c>
      <c r="J240" s="26">
        <f t="shared" si="217"/>
        <v>44165</v>
      </c>
      <c r="K240" s="26" t="str">
        <f t="shared" si="216"/>
        <v>Não</v>
      </c>
      <c r="L240" s="26">
        <f t="shared" si="218"/>
        <v>44165</v>
      </c>
      <c r="M240" s="26" t="str">
        <f t="shared" ref="M240" si="265">IF(ISNA(VLOOKUP(L240,$A:$A,1,0)),"Não","Sim")</f>
        <v>Não</v>
      </c>
      <c r="N240" s="26">
        <f t="shared" si="220"/>
        <v>44165</v>
      </c>
    </row>
    <row r="241" spans="1:14" x14ac:dyDescent="0.25">
      <c r="A241" s="39">
        <v>44190</v>
      </c>
      <c r="B241" t="s">
        <v>100</v>
      </c>
      <c r="C241" t="s">
        <v>111</v>
      </c>
      <c r="E241" s="26">
        <v>44166</v>
      </c>
      <c r="F241" s="26">
        <f t="shared" si="213"/>
        <v>44196</v>
      </c>
      <c r="G241" s="19">
        <f t="shared" si="214"/>
        <v>4</v>
      </c>
      <c r="H241" s="26">
        <f t="shared" si="215"/>
        <v>44196</v>
      </c>
      <c r="I241" s="26" t="str">
        <f t="shared" si="216"/>
        <v>Não</v>
      </c>
      <c r="J241" s="26">
        <f t="shared" si="217"/>
        <v>44196</v>
      </c>
      <c r="K241" s="26" t="str">
        <f t="shared" si="216"/>
        <v>Não</v>
      </c>
      <c r="L241" s="26">
        <f t="shared" si="218"/>
        <v>44196</v>
      </c>
      <c r="M241" s="26" t="str">
        <f t="shared" ref="M241" si="266">IF(ISNA(VLOOKUP(L241,$A:$A,1,0)),"Não","Sim")</f>
        <v>Não</v>
      </c>
      <c r="N241" s="26">
        <f t="shared" si="220"/>
        <v>44196</v>
      </c>
    </row>
    <row r="242" spans="1:14" x14ac:dyDescent="0.25">
      <c r="A242" s="39">
        <v>44197</v>
      </c>
      <c r="B242" t="s">
        <v>100</v>
      </c>
      <c r="C242" t="s">
        <v>97</v>
      </c>
      <c r="E242" s="26">
        <v>44197</v>
      </c>
      <c r="F242" s="26">
        <f t="shared" si="213"/>
        <v>44227</v>
      </c>
      <c r="G242" s="19">
        <f t="shared" si="214"/>
        <v>7</v>
      </c>
      <c r="H242" s="26">
        <f t="shared" si="215"/>
        <v>44225</v>
      </c>
      <c r="I242" s="26" t="str">
        <f t="shared" si="216"/>
        <v>Não</v>
      </c>
      <c r="J242" s="26">
        <f t="shared" si="217"/>
        <v>44225</v>
      </c>
      <c r="K242" s="26" t="str">
        <f t="shared" si="216"/>
        <v>Não</v>
      </c>
      <c r="L242" s="26">
        <f t="shared" si="218"/>
        <v>44225</v>
      </c>
      <c r="M242" s="26" t="str">
        <f t="shared" ref="M242" si="267">IF(ISNA(VLOOKUP(L242,$A:$A,1,0)),"Não","Sim")</f>
        <v>Não</v>
      </c>
      <c r="N242" s="26">
        <f t="shared" si="220"/>
        <v>44225</v>
      </c>
    </row>
    <row r="243" spans="1:14" x14ac:dyDescent="0.25">
      <c r="A243" s="39">
        <v>44242</v>
      </c>
      <c r="B243" t="s">
        <v>96</v>
      </c>
      <c r="C243" t="s">
        <v>98</v>
      </c>
      <c r="E243" s="26">
        <v>44228</v>
      </c>
      <c r="F243" s="26">
        <f t="shared" si="213"/>
        <v>44255</v>
      </c>
      <c r="G243" s="19">
        <f t="shared" si="214"/>
        <v>7</v>
      </c>
      <c r="H243" s="26">
        <f t="shared" si="215"/>
        <v>44253</v>
      </c>
      <c r="I243" s="26" t="str">
        <f t="shared" si="216"/>
        <v>Não</v>
      </c>
      <c r="J243" s="26">
        <f t="shared" si="217"/>
        <v>44253</v>
      </c>
      <c r="K243" s="26" t="str">
        <f t="shared" si="216"/>
        <v>Não</v>
      </c>
      <c r="L243" s="26">
        <f t="shared" si="218"/>
        <v>44253</v>
      </c>
      <c r="M243" s="26" t="str">
        <f t="shared" ref="M243" si="268">IF(ISNA(VLOOKUP(L243,$A:$A,1,0)),"Não","Sim")</f>
        <v>Não</v>
      </c>
      <c r="N243" s="26">
        <f t="shared" si="220"/>
        <v>44253</v>
      </c>
    </row>
    <row r="244" spans="1:14" x14ac:dyDescent="0.25">
      <c r="A244" s="39">
        <v>44243</v>
      </c>
      <c r="B244" t="s">
        <v>99</v>
      </c>
      <c r="C244" t="s">
        <v>98</v>
      </c>
      <c r="E244" s="26">
        <v>44256</v>
      </c>
      <c r="F244" s="26">
        <f t="shared" si="213"/>
        <v>44286</v>
      </c>
      <c r="G244" s="19">
        <f t="shared" si="214"/>
        <v>3</v>
      </c>
      <c r="H244" s="26">
        <f t="shared" si="215"/>
        <v>44286</v>
      </c>
      <c r="I244" s="26" t="str">
        <f t="shared" si="216"/>
        <v>Não</v>
      </c>
      <c r="J244" s="26">
        <f t="shared" si="217"/>
        <v>44286</v>
      </c>
      <c r="K244" s="26" t="str">
        <f t="shared" si="216"/>
        <v>Não</v>
      </c>
      <c r="L244" s="26">
        <f t="shared" si="218"/>
        <v>44286</v>
      </c>
      <c r="M244" s="26" t="str">
        <f t="shared" ref="M244" si="269">IF(ISNA(VLOOKUP(L244,$A:$A,1,0)),"Não","Sim")</f>
        <v>Não</v>
      </c>
      <c r="N244" s="26">
        <f t="shared" si="220"/>
        <v>44286</v>
      </c>
    </row>
    <row r="245" spans="1:14" x14ac:dyDescent="0.25">
      <c r="A245" s="39">
        <v>44288</v>
      </c>
      <c r="B245" t="s">
        <v>100</v>
      </c>
      <c r="C245" t="s">
        <v>101</v>
      </c>
      <c r="E245" s="26">
        <v>44287</v>
      </c>
      <c r="F245" s="26">
        <f t="shared" si="213"/>
        <v>44316</v>
      </c>
      <c r="G245" s="19">
        <f t="shared" si="214"/>
        <v>5</v>
      </c>
      <c r="H245" s="26">
        <f t="shared" si="215"/>
        <v>44316</v>
      </c>
      <c r="I245" s="26" t="str">
        <f t="shared" si="216"/>
        <v>Não</v>
      </c>
      <c r="J245" s="26">
        <f t="shared" si="217"/>
        <v>44316</v>
      </c>
      <c r="K245" s="26" t="str">
        <f t="shared" si="216"/>
        <v>Não</v>
      </c>
      <c r="L245" s="26">
        <f t="shared" si="218"/>
        <v>44316</v>
      </c>
      <c r="M245" s="26" t="str">
        <f t="shared" ref="M245" si="270">IF(ISNA(VLOOKUP(L245,$A:$A,1,0)),"Não","Sim")</f>
        <v>Não</v>
      </c>
      <c r="N245" s="26">
        <f t="shared" si="220"/>
        <v>44316</v>
      </c>
    </row>
    <row r="246" spans="1:14" x14ac:dyDescent="0.25">
      <c r="A246" s="39">
        <v>44307</v>
      </c>
      <c r="B246" t="s">
        <v>113</v>
      </c>
      <c r="C246" t="s">
        <v>103</v>
      </c>
      <c r="E246" s="26">
        <v>44317</v>
      </c>
      <c r="F246" s="26">
        <f t="shared" si="213"/>
        <v>44347</v>
      </c>
      <c r="G246" s="19">
        <f t="shared" si="214"/>
        <v>1</v>
      </c>
      <c r="H246" s="26">
        <f t="shared" si="215"/>
        <v>44347</v>
      </c>
      <c r="I246" s="26" t="str">
        <f t="shared" si="216"/>
        <v>Não</v>
      </c>
      <c r="J246" s="26">
        <f t="shared" si="217"/>
        <v>44347</v>
      </c>
      <c r="K246" s="26" t="str">
        <f t="shared" si="216"/>
        <v>Não</v>
      </c>
      <c r="L246" s="26">
        <f t="shared" si="218"/>
        <v>44347</v>
      </c>
      <c r="M246" s="26" t="str">
        <f t="shared" ref="M246" si="271">IF(ISNA(VLOOKUP(L246,$A:$A,1,0)),"Não","Sim")</f>
        <v>Não</v>
      </c>
      <c r="N246" s="26">
        <f t="shared" si="220"/>
        <v>44347</v>
      </c>
    </row>
    <row r="247" spans="1:14" x14ac:dyDescent="0.25">
      <c r="A247" s="39">
        <v>44317</v>
      </c>
      <c r="B247" t="s">
        <v>102</v>
      </c>
      <c r="C247" t="s">
        <v>104</v>
      </c>
      <c r="E247" s="26">
        <v>44348</v>
      </c>
      <c r="F247" s="26">
        <f t="shared" si="213"/>
        <v>44377</v>
      </c>
      <c r="G247" s="19">
        <f t="shared" si="214"/>
        <v>3</v>
      </c>
      <c r="H247" s="26">
        <f t="shared" si="215"/>
        <v>44377</v>
      </c>
      <c r="I247" s="26" t="str">
        <f t="shared" si="216"/>
        <v>Não</v>
      </c>
      <c r="J247" s="26">
        <f t="shared" si="217"/>
        <v>44377</v>
      </c>
      <c r="K247" s="26" t="str">
        <f t="shared" si="216"/>
        <v>Não</v>
      </c>
      <c r="L247" s="26">
        <f t="shared" si="218"/>
        <v>44377</v>
      </c>
      <c r="M247" s="26" t="str">
        <f t="shared" ref="M247" si="272">IF(ISNA(VLOOKUP(L247,$A:$A,1,0)),"Não","Sim")</f>
        <v>Não</v>
      </c>
      <c r="N247" s="26">
        <f t="shared" si="220"/>
        <v>44377</v>
      </c>
    </row>
    <row r="248" spans="1:14" x14ac:dyDescent="0.25">
      <c r="A248" s="39">
        <v>44350</v>
      </c>
      <c r="B248" t="s">
        <v>105</v>
      </c>
      <c r="C248" t="s">
        <v>106</v>
      </c>
      <c r="E248" s="26">
        <v>44378</v>
      </c>
      <c r="F248" s="26">
        <f t="shared" si="213"/>
        <v>44408</v>
      </c>
      <c r="G248" s="19">
        <f t="shared" si="214"/>
        <v>6</v>
      </c>
      <c r="H248" s="26">
        <f t="shared" si="215"/>
        <v>44407</v>
      </c>
      <c r="I248" s="26" t="str">
        <f t="shared" si="216"/>
        <v>Não</v>
      </c>
      <c r="J248" s="26">
        <f t="shared" si="217"/>
        <v>44407</v>
      </c>
      <c r="K248" s="26" t="str">
        <f t="shared" si="216"/>
        <v>Não</v>
      </c>
      <c r="L248" s="26">
        <f t="shared" si="218"/>
        <v>44407</v>
      </c>
      <c r="M248" s="26" t="str">
        <f t="shared" ref="M248" si="273">IF(ISNA(VLOOKUP(L248,$A:$A,1,0)),"Não","Sim")</f>
        <v>Não</v>
      </c>
      <c r="N248" s="26">
        <f t="shared" si="220"/>
        <v>44407</v>
      </c>
    </row>
    <row r="249" spans="1:14" x14ac:dyDescent="0.25">
      <c r="A249" s="39">
        <v>44446</v>
      </c>
      <c r="B249" t="s">
        <v>99</v>
      </c>
      <c r="C249" t="s">
        <v>107</v>
      </c>
      <c r="E249" s="26">
        <v>44409</v>
      </c>
      <c r="F249" s="26">
        <f t="shared" si="213"/>
        <v>44439</v>
      </c>
      <c r="G249" s="19">
        <f t="shared" si="214"/>
        <v>2</v>
      </c>
      <c r="H249" s="26">
        <f t="shared" si="215"/>
        <v>44439</v>
      </c>
      <c r="I249" s="26" t="str">
        <f t="shared" si="216"/>
        <v>Não</v>
      </c>
      <c r="J249" s="26">
        <f t="shared" si="217"/>
        <v>44439</v>
      </c>
      <c r="K249" s="26" t="str">
        <f t="shared" si="216"/>
        <v>Não</v>
      </c>
      <c r="L249" s="26">
        <f t="shared" si="218"/>
        <v>44439</v>
      </c>
      <c r="M249" s="26" t="str">
        <f t="shared" ref="M249" si="274">IF(ISNA(VLOOKUP(L249,$A:$A,1,0)),"Não","Sim")</f>
        <v>Não</v>
      </c>
      <c r="N249" s="26">
        <f t="shared" si="220"/>
        <v>44439</v>
      </c>
    </row>
    <row r="250" spans="1:14" x14ac:dyDescent="0.25">
      <c r="A250" s="39">
        <v>44481</v>
      </c>
      <c r="B250" t="s">
        <v>99</v>
      </c>
      <c r="C250" t="s">
        <v>108</v>
      </c>
      <c r="E250" s="26">
        <v>44440</v>
      </c>
      <c r="F250" s="26">
        <f t="shared" si="213"/>
        <v>44469</v>
      </c>
      <c r="G250" s="19">
        <f t="shared" si="214"/>
        <v>4</v>
      </c>
      <c r="H250" s="26">
        <f t="shared" si="215"/>
        <v>44469</v>
      </c>
      <c r="I250" s="26" t="str">
        <f t="shared" si="216"/>
        <v>Não</v>
      </c>
      <c r="J250" s="26">
        <f t="shared" si="217"/>
        <v>44469</v>
      </c>
      <c r="K250" s="26" t="str">
        <f t="shared" si="216"/>
        <v>Não</v>
      </c>
      <c r="L250" s="26">
        <f t="shared" si="218"/>
        <v>44469</v>
      </c>
      <c r="M250" s="26" t="str">
        <f t="shared" ref="M250" si="275">IF(ISNA(VLOOKUP(L250,$A:$A,1,0)),"Não","Sim")</f>
        <v>Não</v>
      </c>
      <c r="N250" s="26">
        <f t="shared" si="220"/>
        <v>44469</v>
      </c>
    </row>
    <row r="251" spans="1:14" x14ac:dyDescent="0.25">
      <c r="A251" s="39">
        <v>44502</v>
      </c>
      <c r="B251" t="s">
        <v>99</v>
      </c>
      <c r="C251" t="s">
        <v>109</v>
      </c>
      <c r="E251" s="26">
        <v>44470</v>
      </c>
      <c r="F251" s="26">
        <f t="shared" si="213"/>
        <v>44500</v>
      </c>
      <c r="G251" s="19">
        <f t="shared" si="214"/>
        <v>7</v>
      </c>
      <c r="H251" s="26">
        <f t="shared" si="215"/>
        <v>44498</v>
      </c>
      <c r="I251" s="26" t="str">
        <f t="shared" si="216"/>
        <v>Não</v>
      </c>
      <c r="J251" s="26">
        <f t="shared" si="217"/>
        <v>44498</v>
      </c>
      <c r="K251" s="26" t="str">
        <f t="shared" si="216"/>
        <v>Não</v>
      </c>
      <c r="L251" s="26">
        <f t="shared" si="218"/>
        <v>44498</v>
      </c>
      <c r="M251" s="26" t="str">
        <f t="shared" ref="M251" si="276">IF(ISNA(VLOOKUP(L251,$A:$A,1,0)),"Não","Sim")</f>
        <v>Não</v>
      </c>
      <c r="N251" s="26">
        <f t="shared" si="220"/>
        <v>44498</v>
      </c>
    </row>
    <row r="252" spans="1:14" x14ac:dyDescent="0.25">
      <c r="A252" s="39">
        <v>44515</v>
      </c>
      <c r="B252" t="s">
        <v>96</v>
      </c>
      <c r="C252" t="s">
        <v>110</v>
      </c>
      <c r="E252" s="26">
        <v>44501</v>
      </c>
      <c r="F252" s="26">
        <f t="shared" si="213"/>
        <v>44530</v>
      </c>
      <c r="G252" s="19">
        <f t="shared" si="214"/>
        <v>2</v>
      </c>
      <c r="H252" s="26">
        <f t="shared" si="215"/>
        <v>44530</v>
      </c>
      <c r="I252" s="26" t="str">
        <f t="shared" si="216"/>
        <v>Não</v>
      </c>
      <c r="J252" s="26">
        <f t="shared" si="217"/>
        <v>44530</v>
      </c>
      <c r="K252" s="26" t="str">
        <f t="shared" si="216"/>
        <v>Não</v>
      </c>
      <c r="L252" s="26">
        <f t="shared" si="218"/>
        <v>44530</v>
      </c>
      <c r="M252" s="26" t="str">
        <f t="shared" ref="M252" si="277">IF(ISNA(VLOOKUP(L252,$A:$A,1,0)),"Não","Sim")</f>
        <v>Não</v>
      </c>
      <c r="N252" s="26">
        <f t="shared" si="220"/>
        <v>44530</v>
      </c>
    </row>
    <row r="253" spans="1:14" x14ac:dyDescent="0.25">
      <c r="A253" s="39">
        <v>44555</v>
      </c>
      <c r="B253" t="s">
        <v>102</v>
      </c>
      <c r="C253" t="s">
        <v>111</v>
      </c>
      <c r="E253" s="26">
        <v>44531</v>
      </c>
      <c r="F253" s="26">
        <f t="shared" si="213"/>
        <v>44561</v>
      </c>
      <c r="G253" s="19">
        <f t="shared" si="214"/>
        <v>5</v>
      </c>
      <c r="H253" s="26">
        <f t="shared" si="215"/>
        <v>44561</v>
      </c>
      <c r="I253" s="26" t="str">
        <f t="shared" si="216"/>
        <v>Não</v>
      </c>
      <c r="J253" s="26">
        <f t="shared" si="217"/>
        <v>44561</v>
      </c>
      <c r="K253" s="26" t="str">
        <f t="shared" si="216"/>
        <v>Não</v>
      </c>
      <c r="L253" s="26">
        <f t="shared" si="218"/>
        <v>44561</v>
      </c>
      <c r="M253" s="26" t="str">
        <f t="shared" ref="M253" si="278">IF(ISNA(VLOOKUP(L253,$A:$A,1,0)),"Não","Sim")</f>
        <v>Não</v>
      </c>
      <c r="N253" s="26">
        <f t="shared" si="220"/>
        <v>44561</v>
      </c>
    </row>
    <row r="254" spans="1:14" x14ac:dyDescent="0.25">
      <c r="A254" s="39">
        <v>44562</v>
      </c>
      <c r="B254" t="s">
        <v>102</v>
      </c>
      <c r="C254" t="s">
        <v>97</v>
      </c>
      <c r="E254" s="26">
        <v>44562</v>
      </c>
      <c r="F254" s="26">
        <f t="shared" si="213"/>
        <v>44592</v>
      </c>
      <c r="G254" s="19">
        <f t="shared" si="214"/>
        <v>1</v>
      </c>
      <c r="H254" s="26">
        <f t="shared" si="215"/>
        <v>44592</v>
      </c>
      <c r="I254" s="26" t="str">
        <f t="shared" si="216"/>
        <v>Não</v>
      </c>
      <c r="J254" s="26">
        <f t="shared" si="217"/>
        <v>44592</v>
      </c>
      <c r="K254" s="26" t="str">
        <f t="shared" si="216"/>
        <v>Não</v>
      </c>
      <c r="L254" s="26">
        <f t="shared" si="218"/>
        <v>44592</v>
      </c>
      <c r="M254" s="26" t="str">
        <f t="shared" ref="M254" si="279">IF(ISNA(VLOOKUP(L254,$A:$A,1,0)),"Não","Sim")</f>
        <v>Não</v>
      </c>
      <c r="N254" s="26">
        <f t="shared" si="220"/>
        <v>44592</v>
      </c>
    </row>
    <row r="255" spans="1:14" x14ac:dyDescent="0.25">
      <c r="A255" s="39">
        <v>44620</v>
      </c>
      <c r="B255" t="s">
        <v>96</v>
      </c>
      <c r="C255" t="s">
        <v>98</v>
      </c>
      <c r="E255" s="26">
        <v>44593</v>
      </c>
      <c r="F255" s="26">
        <f t="shared" si="213"/>
        <v>44620</v>
      </c>
      <c r="G255" s="19">
        <f t="shared" si="214"/>
        <v>1</v>
      </c>
      <c r="H255" s="26">
        <f t="shared" si="215"/>
        <v>44620</v>
      </c>
      <c r="I255" s="26" t="str">
        <f t="shared" si="216"/>
        <v>Sim</v>
      </c>
      <c r="J255" s="26">
        <f t="shared" si="217"/>
        <v>44619</v>
      </c>
      <c r="K255" s="26" t="str">
        <f t="shared" si="216"/>
        <v>Não</v>
      </c>
      <c r="L255" s="26">
        <f t="shared" si="218"/>
        <v>44619</v>
      </c>
      <c r="M255" s="26" t="str">
        <f t="shared" ref="M255" si="280">IF(ISNA(VLOOKUP(L255,$A:$A,1,0)),"Não","Sim")</f>
        <v>Não</v>
      </c>
      <c r="N255" s="26">
        <f t="shared" si="220"/>
        <v>44619</v>
      </c>
    </row>
    <row r="256" spans="1:14" x14ac:dyDescent="0.25">
      <c r="A256" s="39">
        <v>44621</v>
      </c>
      <c r="B256" t="s">
        <v>99</v>
      </c>
      <c r="C256" t="s">
        <v>98</v>
      </c>
      <c r="E256" s="26">
        <v>44621</v>
      </c>
      <c r="F256" s="26">
        <f t="shared" si="213"/>
        <v>44651</v>
      </c>
      <c r="G256" s="19">
        <f t="shared" si="214"/>
        <v>4</v>
      </c>
      <c r="H256" s="26">
        <f t="shared" si="215"/>
        <v>44651</v>
      </c>
      <c r="I256" s="26" t="str">
        <f t="shared" si="216"/>
        <v>Não</v>
      </c>
      <c r="J256" s="26">
        <f t="shared" si="217"/>
        <v>44651</v>
      </c>
      <c r="K256" s="26" t="str">
        <f t="shared" si="216"/>
        <v>Não</v>
      </c>
      <c r="L256" s="26">
        <f t="shared" si="218"/>
        <v>44651</v>
      </c>
      <c r="M256" s="26" t="str">
        <f t="shared" ref="M256" si="281">IF(ISNA(VLOOKUP(L256,$A:$A,1,0)),"Não","Sim")</f>
        <v>Não</v>
      </c>
      <c r="N256" s="26">
        <f t="shared" si="220"/>
        <v>44651</v>
      </c>
    </row>
    <row r="257" spans="1:14" x14ac:dyDescent="0.25">
      <c r="A257" s="39">
        <v>44666</v>
      </c>
      <c r="B257" t="s">
        <v>100</v>
      </c>
      <c r="C257" t="s">
        <v>101</v>
      </c>
      <c r="E257" s="26">
        <v>44652</v>
      </c>
      <c r="F257" s="26">
        <f t="shared" si="213"/>
        <v>44681</v>
      </c>
      <c r="G257" s="19">
        <f t="shared" si="214"/>
        <v>6</v>
      </c>
      <c r="H257" s="26">
        <f t="shared" si="215"/>
        <v>44680</v>
      </c>
      <c r="I257" s="26" t="str">
        <f t="shared" si="216"/>
        <v>Não</v>
      </c>
      <c r="J257" s="26">
        <f t="shared" si="217"/>
        <v>44680</v>
      </c>
      <c r="K257" s="26" t="str">
        <f t="shared" si="216"/>
        <v>Não</v>
      </c>
      <c r="L257" s="26">
        <f t="shared" si="218"/>
        <v>44680</v>
      </c>
      <c r="M257" s="26" t="str">
        <f t="shared" ref="M257" si="282">IF(ISNA(VLOOKUP(L257,$A:$A,1,0)),"Não","Sim")</f>
        <v>Não</v>
      </c>
      <c r="N257" s="26">
        <f t="shared" si="220"/>
        <v>44680</v>
      </c>
    </row>
    <row r="258" spans="1:14" x14ac:dyDescent="0.25">
      <c r="A258" s="39">
        <v>44672</v>
      </c>
      <c r="B258" t="s">
        <v>105</v>
      </c>
      <c r="C258" t="s">
        <v>103</v>
      </c>
      <c r="E258" s="26">
        <v>44682</v>
      </c>
      <c r="F258" s="26">
        <f t="shared" si="213"/>
        <v>44712</v>
      </c>
      <c r="G258" s="19">
        <f t="shared" si="214"/>
        <v>2</v>
      </c>
      <c r="H258" s="26">
        <f t="shared" si="215"/>
        <v>44712</v>
      </c>
      <c r="I258" s="26" t="str">
        <f t="shared" si="216"/>
        <v>Não</v>
      </c>
      <c r="J258" s="26">
        <f t="shared" si="217"/>
        <v>44712</v>
      </c>
      <c r="K258" s="26" t="str">
        <f t="shared" si="216"/>
        <v>Não</v>
      </c>
      <c r="L258" s="26">
        <f t="shared" si="218"/>
        <v>44712</v>
      </c>
      <c r="M258" s="26" t="str">
        <f t="shared" ref="M258" si="283">IF(ISNA(VLOOKUP(L258,$A:$A,1,0)),"Não","Sim")</f>
        <v>Não</v>
      </c>
      <c r="N258" s="26">
        <f t="shared" si="220"/>
        <v>44712</v>
      </c>
    </row>
    <row r="259" spans="1:14" x14ac:dyDescent="0.25">
      <c r="A259" s="39">
        <v>44682</v>
      </c>
      <c r="B259" t="s">
        <v>112</v>
      </c>
      <c r="C259" t="s">
        <v>104</v>
      </c>
      <c r="E259" s="26">
        <v>44713</v>
      </c>
      <c r="F259" s="26">
        <f t="shared" ref="F259:F322" si="284">EOMONTH(E259,0)</f>
        <v>44742</v>
      </c>
      <c r="G259" s="19">
        <f t="shared" ref="G259:G322" si="285">WEEKDAY(F259,2)</f>
        <v>4</v>
      </c>
      <c r="H259" s="26">
        <f t="shared" ref="H259:H322" si="286">IF(G259=6,F259-1,IF(G259=7,F259-2,F259))</f>
        <v>44742</v>
      </c>
      <c r="I259" s="26" t="str">
        <f t="shared" ref="I259:K322" si="287">IF(ISNA(VLOOKUP(H259,$A:$A,1,0)),"Não","Sim")</f>
        <v>Não</v>
      </c>
      <c r="J259" s="26">
        <f t="shared" ref="J259:J322" si="288">IF(I259="Não",H259,H259-1)</f>
        <v>44742</v>
      </c>
      <c r="K259" s="26" t="str">
        <f t="shared" si="287"/>
        <v>Não</v>
      </c>
      <c r="L259" s="26">
        <f t="shared" ref="L259:L322" si="289">IF(K259="Não",J259,J259-1)</f>
        <v>44742</v>
      </c>
      <c r="M259" s="26" t="str">
        <f t="shared" ref="M259" si="290">IF(ISNA(VLOOKUP(L259,$A:$A,1,0)),"Não","Sim")</f>
        <v>Não</v>
      </c>
      <c r="N259" s="26">
        <f t="shared" ref="N259:N322" si="291">IF(M259="Não",L259,L259-1)</f>
        <v>44742</v>
      </c>
    </row>
    <row r="260" spans="1:14" x14ac:dyDescent="0.25">
      <c r="A260" s="39">
        <v>44728</v>
      </c>
      <c r="B260" t="s">
        <v>105</v>
      </c>
      <c r="C260" t="s">
        <v>106</v>
      </c>
      <c r="E260" s="26">
        <v>44743</v>
      </c>
      <c r="F260" s="26">
        <f t="shared" si="284"/>
        <v>44773</v>
      </c>
      <c r="G260" s="19">
        <f t="shared" si="285"/>
        <v>7</v>
      </c>
      <c r="H260" s="26">
        <f t="shared" si="286"/>
        <v>44771</v>
      </c>
      <c r="I260" s="26" t="str">
        <f t="shared" si="287"/>
        <v>Não</v>
      </c>
      <c r="J260" s="26">
        <f t="shared" si="288"/>
        <v>44771</v>
      </c>
      <c r="K260" s="26" t="str">
        <f t="shared" si="287"/>
        <v>Não</v>
      </c>
      <c r="L260" s="26">
        <f t="shared" si="289"/>
        <v>44771</v>
      </c>
      <c r="M260" s="26" t="str">
        <f t="shared" ref="M260" si="292">IF(ISNA(VLOOKUP(L260,$A:$A,1,0)),"Não","Sim")</f>
        <v>Não</v>
      </c>
      <c r="N260" s="26">
        <f t="shared" si="291"/>
        <v>44771</v>
      </c>
    </row>
    <row r="261" spans="1:14" x14ac:dyDescent="0.25">
      <c r="A261" s="39">
        <v>44811</v>
      </c>
      <c r="B261" t="s">
        <v>113</v>
      </c>
      <c r="C261" t="s">
        <v>107</v>
      </c>
      <c r="E261" s="26">
        <v>44774</v>
      </c>
      <c r="F261" s="26">
        <f t="shared" si="284"/>
        <v>44804</v>
      </c>
      <c r="G261" s="19">
        <f t="shared" si="285"/>
        <v>3</v>
      </c>
      <c r="H261" s="26">
        <f t="shared" si="286"/>
        <v>44804</v>
      </c>
      <c r="I261" s="26" t="str">
        <f t="shared" si="287"/>
        <v>Não</v>
      </c>
      <c r="J261" s="26">
        <f t="shared" si="288"/>
        <v>44804</v>
      </c>
      <c r="K261" s="26" t="str">
        <f t="shared" si="287"/>
        <v>Não</v>
      </c>
      <c r="L261" s="26">
        <f t="shared" si="289"/>
        <v>44804</v>
      </c>
      <c r="M261" s="26" t="str">
        <f t="shared" ref="M261" si="293">IF(ISNA(VLOOKUP(L261,$A:$A,1,0)),"Não","Sim")</f>
        <v>Não</v>
      </c>
      <c r="N261" s="26">
        <f t="shared" si="291"/>
        <v>44804</v>
      </c>
    </row>
    <row r="262" spans="1:14" x14ac:dyDescent="0.25">
      <c r="A262" s="39">
        <v>44846</v>
      </c>
      <c r="B262" t="s">
        <v>113</v>
      </c>
      <c r="C262" t="s">
        <v>108</v>
      </c>
      <c r="E262" s="26">
        <v>44805</v>
      </c>
      <c r="F262" s="26">
        <f t="shared" si="284"/>
        <v>44834</v>
      </c>
      <c r="G262" s="19">
        <f t="shared" si="285"/>
        <v>5</v>
      </c>
      <c r="H262" s="26">
        <f t="shared" si="286"/>
        <v>44834</v>
      </c>
      <c r="I262" s="26" t="str">
        <f t="shared" si="287"/>
        <v>Não</v>
      </c>
      <c r="J262" s="26">
        <f t="shared" si="288"/>
        <v>44834</v>
      </c>
      <c r="K262" s="26" t="str">
        <f t="shared" si="287"/>
        <v>Não</v>
      </c>
      <c r="L262" s="26">
        <f t="shared" si="289"/>
        <v>44834</v>
      </c>
      <c r="M262" s="26" t="str">
        <f t="shared" ref="M262" si="294">IF(ISNA(VLOOKUP(L262,$A:$A,1,0)),"Não","Sim")</f>
        <v>Não</v>
      </c>
      <c r="N262" s="26">
        <f t="shared" si="291"/>
        <v>44834</v>
      </c>
    </row>
    <row r="263" spans="1:14" x14ac:dyDescent="0.25">
      <c r="A263" s="39">
        <v>44867</v>
      </c>
      <c r="B263" t="s">
        <v>113</v>
      </c>
      <c r="C263" t="s">
        <v>109</v>
      </c>
      <c r="E263" s="26">
        <v>44835</v>
      </c>
      <c r="F263" s="26">
        <f t="shared" si="284"/>
        <v>44865</v>
      </c>
      <c r="G263" s="19">
        <f t="shared" si="285"/>
        <v>1</v>
      </c>
      <c r="H263" s="26">
        <f t="shared" si="286"/>
        <v>44865</v>
      </c>
      <c r="I263" s="26" t="str">
        <f t="shared" si="287"/>
        <v>Não</v>
      </c>
      <c r="J263" s="26">
        <f t="shared" si="288"/>
        <v>44865</v>
      </c>
      <c r="K263" s="26" t="str">
        <f t="shared" si="287"/>
        <v>Não</v>
      </c>
      <c r="L263" s="26">
        <f t="shared" si="289"/>
        <v>44865</v>
      </c>
      <c r="M263" s="26" t="str">
        <f t="shared" ref="M263" si="295">IF(ISNA(VLOOKUP(L263,$A:$A,1,0)),"Não","Sim")</f>
        <v>Não</v>
      </c>
      <c r="N263" s="26">
        <f t="shared" si="291"/>
        <v>44865</v>
      </c>
    </row>
    <row r="264" spans="1:14" x14ac:dyDescent="0.25">
      <c r="A264" s="39">
        <v>44880</v>
      </c>
      <c r="B264" t="s">
        <v>99</v>
      </c>
      <c r="C264" t="s">
        <v>110</v>
      </c>
      <c r="E264" s="26">
        <v>44866</v>
      </c>
      <c r="F264" s="26">
        <f t="shared" si="284"/>
        <v>44895</v>
      </c>
      <c r="G264" s="19">
        <f t="shared" si="285"/>
        <v>3</v>
      </c>
      <c r="H264" s="26">
        <f t="shared" si="286"/>
        <v>44895</v>
      </c>
      <c r="I264" s="26" t="str">
        <f t="shared" si="287"/>
        <v>Não</v>
      </c>
      <c r="J264" s="26">
        <f t="shared" si="288"/>
        <v>44895</v>
      </c>
      <c r="K264" s="26" t="str">
        <f t="shared" si="287"/>
        <v>Não</v>
      </c>
      <c r="L264" s="26">
        <f t="shared" si="289"/>
        <v>44895</v>
      </c>
      <c r="M264" s="26" t="str">
        <f t="shared" ref="M264" si="296">IF(ISNA(VLOOKUP(L264,$A:$A,1,0)),"Não","Sim")</f>
        <v>Não</v>
      </c>
      <c r="N264" s="26">
        <f t="shared" si="291"/>
        <v>44895</v>
      </c>
    </row>
    <row r="265" spans="1:14" x14ac:dyDescent="0.25">
      <c r="A265" s="39">
        <v>44920</v>
      </c>
      <c r="B265" t="s">
        <v>112</v>
      </c>
      <c r="C265" t="s">
        <v>111</v>
      </c>
      <c r="E265" s="26">
        <v>44896</v>
      </c>
      <c r="F265" s="26">
        <f t="shared" si="284"/>
        <v>44926</v>
      </c>
      <c r="G265" s="19">
        <f t="shared" si="285"/>
        <v>6</v>
      </c>
      <c r="H265" s="26">
        <f t="shared" si="286"/>
        <v>44925</v>
      </c>
      <c r="I265" s="26" t="str">
        <f t="shared" si="287"/>
        <v>Não</v>
      </c>
      <c r="J265" s="26">
        <f t="shared" si="288"/>
        <v>44925</v>
      </c>
      <c r="K265" s="26" t="str">
        <f t="shared" si="287"/>
        <v>Não</v>
      </c>
      <c r="L265" s="26">
        <f t="shared" si="289"/>
        <v>44925</v>
      </c>
      <c r="M265" s="26" t="str">
        <f t="shared" ref="M265" si="297">IF(ISNA(VLOOKUP(L265,$A:$A,1,0)),"Não","Sim")</f>
        <v>Não</v>
      </c>
      <c r="N265" s="26">
        <f t="shared" si="291"/>
        <v>44925</v>
      </c>
    </row>
    <row r="266" spans="1:14" x14ac:dyDescent="0.25">
      <c r="A266" s="39">
        <v>44927</v>
      </c>
      <c r="B266" t="s">
        <v>112</v>
      </c>
      <c r="C266" t="s">
        <v>97</v>
      </c>
      <c r="E266" s="26">
        <v>44927</v>
      </c>
      <c r="F266" s="26">
        <f t="shared" si="284"/>
        <v>44957</v>
      </c>
      <c r="G266" s="19">
        <f t="shared" si="285"/>
        <v>2</v>
      </c>
      <c r="H266" s="26">
        <f t="shared" si="286"/>
        <v>44957</v>
      </c>
      <c r="I266" s="26" t="str">
        <f t="shared" si="287"/>
        <v>Não</v>
      </c>
      <c r="J266" s="26">
        <f t="shared" si="288"/>
        <v>44957</v>
      </c>
      <c r="K266" s="26" t="str">
        <f t="shared" si="287"/>
        <v>Não</v>
      </c>
      <c r="L266" s="26">
        <f t="shared" si="289"/>
        <v>44957</v>
      </c>
      <c r="M266" s="26" t="str">
        <f t="shared" ref="M266" si="298">IF(ISNA(VLOOKUP(L266,$A:$A,1,0)),"Não","Sim")</f>
        <v>Não</v>
      </c>
      <c r="N266" s="26">
        <f t="shared" si="291"/>
        <v>44957</v>
      </c>
    </row>
    <row r="267" spans="1:14" x14ac:dyDescent="0.25">
      <c r="A267" s="39">
        <v>44977</v>
      </c>
      <c r="B267" t="s">
        <v>96</v>
      </c>
      <c r="C267" t="s">
        <v>98</v>
      </c>
      <c r="E267" s="26">
        <v>44958</v>
      </c>
      <c r="F267" s="26">
        <f t="shared" si="284"/>
        <v>44985</v>
      </c>
      <c r="G267" s="19">
        <f t="shared" si="285"/>
        <v>2</v>
      </c>
      <c r="H267" s="26">
        <f t="shared" si="286"/>
        <v>44985</v>
      </c>
      <c r="I267" s="26" t="str">
        <f t="shared" si="287"/>
        <v>Não</v>
      </c>
      <c r="J267" s="26">
        <f t="shared" si="288"/>
        <v>44985</v>
      </c>
      <c r="K267" s="26" t="str">
        <f t="shared" si="287"/>
        <v>Não</v>
      </c>
      <c r="L267" s="26">
        <f t="shared" si="289"/>
        <v>44985</v>
      </c>
      <c r="M267" s="26" t="str">
        <f t="shared" ref="M267" si="299">IF(ISNA(VLOOKUP(L267,$A:$A,1,0)),"Não","Sim")</f>
        <v>Não</v>
      </c>
      <c r="N267" s="26">
        <f t="shared" si="291"/>
        <v>44985</v>
      </c>
    </row>
    <row r="268" spans="1:14" x14ac:dyDescent="0.25">
      <c r="A268" s="39">
        <v>44978</v>
      </c>
      <c r="B268" t="s">
        <v>99</v>
      </c>
      <c r="C268" t="s">
        <v>98</v>
      </c>
      <c r="E268" s="26">
        <v>44986</v>
      </c>
      <c r="F268" s="26">
        <f t="shared" si="284"/>
        <v>45016</v>
      </c>
      <c r="G268" s="19">
        <f t="shared" si="285"/>
        <v>5</v>
      </c>
      <c r="H268" s="26">
        <f t="shared" si="286"/>
        <v>45016</v>
      </c>
      <c r="I268" s="26" t="str">
        <f t="shared" si="287"/>
        <v>Não</v>
      </c>
      <c r="J268" s="26">
        <f t="shared" si="288"/>
        <v>45016</v>
      </c>
      <c r="K268" s="26" t="str">
        <f t="shared" si="287"/>
        <v>Não</v>
      </c>
      <c r="L268" s="26">
        <f t="shared" si="289"/>
        <v>45016</v>
      </c>
      <c r="M268" s="26" t="str">
        <f t="shared" ref="M268" si="300">IF(ISNA(VLOOKUP(L268,$A:$A,1,0)),"Não","Sim")</f>
        <v>Não</v>
      </c>
      <c r="N268" s="26">
        <f t="shared" si="291"/>
        <v>45016</v>
      </c>
    </row>
    <row r="269" spans="1:14" x14ac:dyDescent="0.25">
      <c r="A269" s="39">
        <v>45023</v>
      </c>
      <c r="B269" t="s">
        <v>100</v>
      </c>
      <c r="C269" t="s">
        <v>101</v>
      </c>
      <c r="E269" s="26">
        <v>45017</v>
      </c>
      <c r="F269" s="26">
        <f t="shared" si="284"/>
        <v>45046</v>
      </c>
      <c r="G269" s="19">
        <f t="shared" si="285"/>
        <v>7</v>
      </c>
      <c r="H269" s="26">
        <f t="shared" si="286"/>
        <v>45044</v>
      </c>
      <c r="I269" s="26" t="str">
        <f t="shared" si="287"/>
        <v>Não</v>
      </c>
      <c r="J269" s="26">
        <f t="shared" si="288"/>
        <v>45044</v>
      </c>
      <c r="K269" s="26" t="str">
        <f t="shared" si="287"/>
        <v>Não</v>
      </c>
      <c r="L269" s="26">
        <f t="shared" si="289"/>
        <v>45044</v>
      </c>
      <c r="M269" s="26" t="str">
        <f t="shared" ref="M269" si="301">IF(ISNA(VLOOKUP(L269,$A:$A,1,0)),"Não","Sim")</f>
        <v>Não</v>
      </c>
      <c r="N269" s="26">
        <f t="shared" si="291"/>
        <v>45044</v>
      </c>
    </row>
    <row r="270" spans="1:14" x14ac:dyDescent="0.25">
      <c r="A270" s="39">
        <v>45037</v>
      </c>
      <c r="B270" t="s">
        <v>100</v>
      </c>
      <c r="C270" t="s">
        <v>103</v>
      </c>
      <c r="E270" s="26">
        <v>45047</v>
      </c>
      <c r="F270" s="26">
        <f t="shared" si="284"/>
        <v>45077</v>
      </c>
      <c r="G270" s="19">
        <f t="shared" si="285"/>
        <v>3</v>
      </c>
      <c r="H270" s="26">
        <f t="shared" si="286"/>
        <v>45077</v>
      </c>
      <c r="I270" s="26" t="str">
        <f t="shared" si="287"/>
        <v>Não</v>
      </c>
      <c r="J270" s="26">
        <f t="shared" si="288"/>
        <v>45077</v>
      </c>
      <c r="K270" s="26" t="str">
        <f t="shared" si="287"/>
        <v>Não</v>
      </c>
      <c r="L270" s="26">
        <f t="shared" si="289"/>
        <v>45077</v>
      </c>
      <c r="M270" s="26" t="str">
        <f t="shared" ref="M270" si="302">IF(ISNA(VLOOKUP(L270,$A:$A,1,0)),"Não","Sim")</f>
        <v>Não</v>
      </c>
      <c r="N270" s="26">
        <f t="shared" si="291"/>
        <v>45077</v>
      </c>
    </row>
    <row r="271" spans="1:14" x14ac:dyDescent="0.25">
      <c r="A271" s="39">
        <v>45047</v>
      </c>
      <c r="B271" t="s">
        <v>96</v>
      </c>
      <c r="C271" t="s">
        <v>104</v>
      </c>
      <c r="E271" s="26">
        <v>45078</v>
      </c>
      <c r="F271" s="26">
        <f t="shared" si="284"/>
        <v>45107</v>
      </c>
      <c r="G271" s="19">
        <f t="shared" si="285"/>
        <v>5</v>
      </c>
      <c r="H271" s="26">
        <f t="shared" si="286"/>
        <v>45107</v>
      </c>
      <c r="I271" s="26" t="str">
        <f t="shared" si="287"/>
        <v>Não</v>
      </c>
      <c r="J271" s="26">
        <f t="shared" si="288"/>
        <v>45107</v>
      </c>
      <c r="K271" s="26" t="str">
        <f t="shared" si="287"/>
        <v>Não</v>
      </c>
      <c r="L271" s="26">
        <f t="shared" si="289"/>
        <v>45107</v>
      </c>
      <c r="M271" s="26" t="str">
        <f t="shared" ref="M271" si="303">IF(ISNA(VLOOKUP(L271,$A:$A,1,0)),"Não","Sim")</f>
        <v>Não</v>
      </c>
      <c r="N271" s="26">
        <f t="shared" si="291"/>
        <v>45107</v>
      </c>
    </row>
    <row r="272" spans="1:14" x14ac:dyDescent="0.25">
      <c r="A272" s="39">
        <v>45085</v>
      </c>
      <c r="B272" t="s">
        <v>105</v>
      </c>
      <c r="C272" t="s">
        <v>106</v>
      </c>
      <c r="E272" s="26">
        <v>45108</v>
      </c>
      <c r="F272" s="26">
        <f t="shared" si="284"/>
        <v>45138</v>
      </c>
      <c r="G272" s="19">
        <f t="shared" si="285"/>
        <v>1</v>
      </c>
      <c r="H272" s="26">
        <f t="shared" si="286"/>
        <v>45138</v>
      </c>
      <c r="I272" s="26" t="str">
        <f t="shared" si="287"/>
        <v>Não</v>
      </c>
      <c r="J272" s="26">
        <f t="shared" si="288"/>
        <v>45138</v>
      </c>
      <c r="K272" s="26" t="str">
        <f t="shared" si="287"/>
        <v>Não</v>
      </c>
      <c r="L272" s="26">
        <f t="shared" si="289"/>
        <v>45138</v>
      </c>
      <c r="M272" s="26" t="str">
        <f t="shared" ref="M272" si="304">IF(ISNA(VLOOKUP(L272,$A:$A,1,0)),"Não","Sim")</f>
        <v>Não</v>
      </c>
      <c r="N272" s="26">
        <f t="shared" si="291"/>
        <v>45138</v>
      </c>
    </row>
    <row r="273" spans="1:14" x14ac:dyDescent="0.25">
      <c r="A273" s="39">
        <v>45176</v>
      </c>
      <c r="B273" t="s">
        <v>105</v>
      </c>
      <c r="C273" t="s">
        <v>107</v>
      </c>
      <c r="E273" s="26">
        <v>45139</v>
      </c>
      <c r="F273" s="26">
        <f t="shared" si="284"/>
        <v>45169</v>
      </c>
      <c r="G273" s="19">
        <f t="shared" si="285"/>
        <v>4</v>
      </c>
      <c r="H273" s="26">
        <f t="shared" si="286"/>
        <v>45169</v>
      </c>
      <c r="I273" s="26" t="str">
        <f t="shared" si="287"/>
        <v>Não</v>
      </c>
      <c r="J273" s="26">
        <f t="shared" si="288"/>
        <v>45169</v>
      </c>
      <c r="K273" s="26" t="str">
        <f t="shared" si="287"/>
        <v>Não</v>
      </c>
      <c r="L273" s="26">
        <f t="shared" si="289"/>
        <v>45169</v>
      </c>
      <c r="M273" s="26" t="str">
        <f t="shared" ref="M273" si="305">IF(ISNA(VLOOKUP(L273,$A:$A,1,0)),"Não","Sim")</f>
        <v>Não</v>
      </c>
      <c r="N273" s="26">
        <f t="shared" si="291"/>
        <v>45169</v>
      </c>
    </row>
    <row r="274" spans="1:14" x14ac:dyDescent="0.25">
      <c r="A274" s="39">
        <v>45211</v>
      </c>
      <c r="B274" t="s">
        <v>105</v>
      </c>
      <c r="C274" t="s">
        <v>108</v>
      </c>
      <c r="E274" s="26">
        <v>45170</v>
      </c>
      <c r="F274" s="26">
        <f t="shared" si="284"/>
        <v>45199</v>
      </c>
      <c r="G274" s="19">
        <f t="shared" si="285"/>
        <v>6</v>
      </c>
      <c r="H274" s="26">
        <f t="shared" si="286"/>
        <v>45198</v>
      </c>
      <c r="I274" s="26" t="str">
        <f t="shared" si="287"/>
        <v>Não</v>
      </c>
      <c r="J274" s="26">
        <f t="shared" si="288"/>
        <v>45198</v>
      </c>
      <c r="K274" s="26" t="str">
        <f t="shared" si="287"/>
        <v>Não</v>
      </c>
      <c r="L274" s="26">
        <f t="shared" si="289"/>
        <v>45198</v>
      </c>
      <c r="M274" s="26" t="str">
        <f t="shared" ref="M274" si="306">IF(ISNA(VLOOKUP(L274,$A:$A,1,0)),"Não","Sim")</f>
        <v>Não</v>
      </c>
      <c r="N274" s="26">
        <f t="shared" si="291"/>
        <v>45198</v>
      </c>
    </row>
    <row r="275" spans="1:14" x14ac:dyDescent="0.25">
      <c r="A275" s="39">
        <v>45232</v>
      </c>
      <c r="B275" t="s">
        <v>105</v>
      </c>
      <c r="C275" t="s">
        <v>109</v>
      </c>
      <c r="E275" s="26">
        <v>45200</v>
      </c>
      <c r="F275" s="26">
        <f t="shared" si="284"/>
        <v>45230</v>
      </c>
      <c r="G275" s="19">
        <f t="shared" si="285"/>
        <v>2</v>
      </c>
      <c r="H275" s="26">
        <f t="shared" si="286"/>
        <v>45230</v>
      </c>
      <c r="I275" s="26" t="str">
        <f t="shared" si="287"/>
        <v>Não</v>
      </c>
      <c r="J275" s="26">
        <f t="shared" si="288"/>
        <v>45230</v>
      </c>
      <c r="K275" s="26" t="str">
        <f t="shared" si="287"/>
        <v>Não</v>
      </c>
      <c r="L275" s="26">
        <f t="shared" si="289"/>
        <v>45230</v>
      </c>
      <c r="M275" s="26" t="str">
        <f t="shared" ref="M275" si="307">IF(ISNA(VLOOKUP(L275,$A:$A,1,0)),"Não","Sim")</f>
        <v>Não</v>
      </c>
      <c r="N275" s="26">
        <f t="shared" si="291"/>
        <v>45230</v>
      </c>
    </row>
    <row r="276" spans="1:14" x14ac:dyDescent="0.25">
      <c r="A276" s="39">
        <v>45245</v>
      </c>
      <c r="B276" t="s">
        <v>113</v>
      </c>
      <c r="C276" t="s">
        <v>110</v>
      </c>
      <c r="E276" s="26">
        <v>45231</v>
      </c>
      <c r="F276" s="26">
        <f t="shared" si="284"/>
        <v>45260</v>
      </c>
      <c r="G276" s="19">
        <f t="shared" si="285"/>
        <v>4</v>
      </c>
      <c r="H276" s="26">
        <f t="shared" si="286"/>
        <v>45260</v>
      </c>
      <c r="I276" s="26" t="str">
        <f t="shared" si="287"/>
        <v>Não</v>
      </c>
      <c r="J276" s="26">
        <f t="shared" si="288"/>
        <v>45260</v>
      </c>
      <c r="K276" s="26" t="str">
        <f t="shared" si="287"/>
        <v>Não</v>
      </c>
      <c r="L276" s="26">
        <f t="shared" si="289"/>
        <v>45260</v>
      </c>
      <c r="M276" s="26" t="str">
        <f t="shared" ref="M276" si="308">IF(ISNA(VLOOKUP(L276,$A:$A,1,0)),"Não","Sim")</f>
        <v>Não</v>
      </c>
      <c r="N276" s="26">
        <f t="shared" si="291"/>
        <v>45260</v>
      </c>
    </row>
    <row r="277" spans="1:14" x14ac:dyDescent="0.25">
      <c r="A277" s="39">
        <v>45285</v>
      </c>
      <c r="B277" t="s">
        <v>96</v>
      </c>
      <c r="C277" t="s">
        <v>111</v>
      </c>
      <c r="E277" s="26">
        <v>45261</v>
      </c>
      <c r="F277" s="26">
        <f t="shared" si="284"/>
        <v>45291</v>
      </c>
      <c r="G277" s="19">
        <f t="shared" si="285"/>
        <v>7</v>
      </c>
      <c r="H277" s="26">
        <f t="shared" si="286"/>
        <v>45289</v>
      </c>
      <c r="I277" s="26" t="str">
        <f t="shared" si="287"/>
        <v>Não</v>
      </c>
      <c r="J277" s="26">
        <f t="shared" si="288"/>
        <v>45289</v>
      </c>
      <c r="K277" s="26" t="str">
        <f t="shared" si="287"/>
        <v>Não</v>
      </c>
      <c r="L277" s="26">
        <f t="shared" si="289"/>
        <v>45289</v>
      </c>
      <c r="M277" s="26" t="str">
        <f t="shared" ref="M277" si="309">IF(ISNA(VLOOKUP(L277,$A:$A,1,0)),"Não","Sim")</f>
        <v>Não</v>
      </c>
      <c r="N277" s="26">
        <f t="shared" si="291"/>
        <v>45289</v>
      </c>
    </row>
    <row r="278" spans="1:14" x14ac:dyDescent="0.25">
      <c r="A278" s="39">
        <v>45292</v>
      </c>
      <c r="B278" t="s">
        <v>96</v>
      </c>
      <c r="C278" t="s">
        <v>97</v>
      </c>
      <c r="E278" s="26">
        <v>45292</v>
      </c>
      <c r="F278" s="26">
        <f t="shared" si="284"/>
        <v>45322</v>
      </c>
      <c r="G278" s="19">
        <f t="shared" si="285"/>
        <v>3</v>
      </c>
      <c r="H278" s="26">
        <f t="shared" si="286"/>
        <v>45322</v>
      </c>
      <c r="I278" s="26" t="str">
        <f t="shared" si="287"/>
        <v>Não</v>
      </c>
      <c r="J278" s="26">
        <f t="shared" si="288"/>
        <v>45322</v>
      </c>
      <c r="K278" s="26" t="str">
        <f t="shared" si="287"/>
        <v>Não</v>
      </c>
      <c r="L278" s="26">
        <f t="shared" si="289"/>
        <v>45322</v>
      </c>
      <c r="M278" s="26" t="str">
        <f t="shared" ref="M278" si="310">IF(ISNA(VLOOKUP(L278,$A:$A,1,0)),"Não","Sim")</f>
        <v>Não</v>
      </c>
      <c r="N278" s="26">
        <f t="shared" si="291"/>
        <v>45322</v>
      </c>
    </row>
    <row r="279" spans="1:14" x14ac:dyDescent="0.25">
      <c r="A279" s="39">
        <v>45334</v>
      </c>
      <c r="B279" t="s">
        <v>96</v>
      </c>
      <c r="C279" t="s">
        <v>98</v>
      </c>
      <c r="E279" s="26">
        <v>45323</v>
      </c>
      <c r="F279" s="26">
        <f t="shared" si="284"/>
        <v>45351</v>
      </c>
      <c r="G279" s="19">
        <f t="shared" si="285"/>
        <v>4</v>
      </c>
      <c r="H279" s="26">
        <f t="shared" si="286"/>
        <v>45351</v>
      </c>
      <c r="I279" s="26" t="str">
        <f t="shared" si="287"/>
        <v>Não</v>
      </c>
      <c r="J279" s="26">
        <f t="shared" si="288"/>
        <v>45351</v>
      </c>
      <c r="K279" s="26" t="str">
        <f t="shared" si="287"/>
        <v>Não</v>
      </c>
      <c r="L279" s="26">
        <f t="shared" si="289"/>
        <v>45351</v>
      </c>
      <c r="M279" s="26" t="str">
        <f t="shared" ref="M279" si="311">IF(ISNA(VLOOKUP(L279,$A:$A,1,0)),"Não","Sim")</f>
        <v>Não</v>
      </c>
      <c r="N279" s="26">
        <f t="shared" si="291"/>
        <v>45351</v>
      </c>
    </row>
    <row r="280" spans="1:14" x14ac:dyDescent="0.25">
      <c r="A280" s="39">
        <v>45335</v>
      </c>
      <c r="B280" t="s">
        <v>99</v>
      </c>
      <c r="C280" t="s">
        <v>98</v>
      </c>
      <c r="E280" s="26">
        <v>45352</v>
      </c>
      <c r="F280" s="26">
        <f t="shared" si="284"/>
        <v>45382</v>
      </c>
      <c r="G280" s="19">
        <f t="shared" si="285"/>
        <v>7</v>
      </c>
      <c r="H280" s="26">
        <f t="shared" si="286"/>
        <v>45380</v>
      </c>
      <c r="I280" s="26" t="str">
        <f t="shared" si="287"/>
        <v>Sim</v>
      </c>
      <c r="J280" s="26">
        <f t="shared" si="288"/>
        <v>45379</v>
      </c>
      <c r="K280" s="26" t="str">
        <f t="shared" si="287"/>
        <v>Não</v>
      </c>
      <c r="L280" s="26">
        <f t="shared" si="289"/>
        <v>45379</v>
      </c>
      <c r="M280" s="26" t="str">
        <f t="shared" ref="M280" si="312">IF(ISNA(VLOOKUP(L280,$A:$A,1,0)),"Não","Sim")</f>
        <v>Não</v>
      </c>
      <c r="N280" s="26">
        <f t="shared" si="291"/>
        <v>45379</v>
      </c>
    </row>
    <row r="281" spans="1:14" x14ac:dyDescent="0.25">
      <c r="A281" s="39">
        <v>45380</v>
      </c>
      <c r="B281" t="s">
        <v>100</v>
      </c>
      <c r="C281" t="s">
        <v>101</v>
      </c>
      <c r="E281" s="26">
        <v>45383</v>
      </c>
      <c r="F281" s="26">
        <f t="shared" si="284"/>
        <v>45412</v>
      </c>
      <c r="G281" s="19">
        <f t="shared" si="285"/>
        <v>2</v>
      </c>
      <c r="H281" s="26">
        <f t="shared" si="286"/>
        <v>45412</v>
      </c>
      <c r="I281" s="26" t="str">
        <f t="shared" si="287"/>
        <v>Não</v>
      </c>
      <c r="J281" s="26">
        <f t="shared" si="288"/>
        <v>45412</v>
      </c>
      <c r="K281" s="26" t="str">
        <f t="shared" si="287"/>
        <v>Não</v>
      </c>
      <c r="L281" s="26">
        <f t="shared" si="289"/>
        <v>45412</v>
      </c>
      <c r="M281" s="26" t="str">
        <f t="shared" ref="M281" si="313">IF(ISNA(VLOOKUP(L281,$A:$A,1,0)),"Não","Sim")</f>
        <v>Não</v>
      </c>
      <c r="N281" s="26">
        <f t="shared" si="291"/>
        <v>45412</v>
      </c>
    </row>
    <row r="282" spans="1:14" x14ac:dyDescent="0.25">
      <c r="A282" s="39">
        <v>45403</v>
      </c>
      <c r="B282" t="s">
        <v>112</v>
      </c>
      <c r="C282" t="s">
        <v>103</v>
      </c>
      <c r="E282" s="26">
        <v>45413</v>
      </c>
      <c r="F282" s="26">
        <f t="shared" si="284"/>
        <v>45443</v>
      </c>
      <c r="G282" s="19">
        <f t="shared" si="285"/>
        <v>5</v>
      </c>
      <c r="H282" s="26">
        <f t="shared" si="286"/>
        <v>45443</v>
      </c>
      <c r="I282" s="26" t="str">
        <f t="shared" si="287"/>
        <v>Não</v>
      </c>
      <c r="J282" s="26">
        <f t="shared" si="288"/>
        <v>45443</v>
      </c>
      <c r="K282" s="26" t="str">
        <f t="shared" si="287"/>
        <v>Não</v>
      </c>
      <c r="L282" s="26">
        <f t="shared" si="289"/>
        <v>45443</v>
      </c>
      <c r="M282" s="26" t="str">
        <f t="shared" ref="M282" si="314">IF(ISNA(VLOOKUP(L282,$A:$A,1,0)),"Não","Sim")</f>
        <v>Não</v>
      </c>
      <c r="N282" s="26">
        <f t="shared" si="291"/>
        <v>45443</v>
      </c>
    </row>
    <row r="283" spans="1:14" x14ac:dyDescent="0.25">
      <c r="A283" s="39">
        <v>45413</v>
      </c>
      <c r="B283" t="s">
        <v>113</v>
      </c>
      <c r="C283" t="s">
        <v>104</v>
      </c>
      <c r="E283" s="26">
        <v>45444</v>
      </c>
      <c r="F283" s="26">
        <f t="shared" si="284"/>
        <v>45473</v>
      </c>
      <c r="G283" s="19">
        <f t="shared" si="285"/>
        <v>7</v>
      </c>
      <c r="H283" s="26">
        <f t="shared" si="286"/>
        <v>45471</v>
      </c>
      <c r="I283" s="26" t="str">
        <f t="shared" si="287"/>
        <v>Não</v>
      </c>
      <c r="J283" s="26">
        <f t="shared" si="288"/>
        <v>45471</v>
      </c>
      <c r="K283" s="26" t="str">
        <f t="shared" si="287"/>
        <v>Não</v>
      </c>
      <c r="L283" s="26">
        <f t="shared" si="289"/>
        <v>45471</v>
      </c>
      <c r="M283" s="26" t="str">
        <f t="shared" ref="M283" si="315">IF(ISNA(VLOOKUP(L283,$A:$A,1,0)),"Não","Sim")</f>
        <v>Não</v>
      </c>
      <c r="N283" s="26">
        <f t="shared" si="291"/>
        <v>45471</v>
      </c>
    </row>
    <row r="284" spans="1:14" x14ac:dyDescent="0.25">
      <c r="A284" s="39">
        <v>45442</v>
      </c>
      <c r="B284" t="s">
        <v>105</v>
      </c>
      <c r="C284" t="s">
        <v>106</v>
      </c>
      <c r="E284" s="26">
        <v>45474</v>
      </c>
      <c r="F284" s="26">
        <f t="shared" si="284"/>
        <v>45504</v>
      </c>
      <c r="G284" s="19">
        <f t="shared" si="285"/>
        <v>3</v>
      </c>
      <c r="H284" s="26">
        <f t="shared" si="286"/>
        <v>45504</v>
      </c>
      <c r="I284" s="26" t="str">
        <f t="shared" si="287"/>
        <v>Não</v>
      </c>
      <c r="J284" s="26">
        <f t="shared" si="288"/>
        <v>45504</v>
      </c>
      <c r="K284" s="26" t="str">
        <f t="shared" si="287"/>
        <v>Não</v>
      </c>
      <c r="L284" s="26">
        <f t="shared" si="289"/>
        <v>45504</v>
      </c>
      <c r="M284" s="26" t="str">
        <f t="shared" ref="M284" si="316">IF(ISNA(VLOOKUP(L284,$A:$A,1,0)),"Não","Sim")</f>
        <v>Não</v>
      </c>
      <c r="N284" s="26">
        <f t="shared" si="291"/>
        <v>45504</v>
      </c>
    </row>
    <row r="285" spans="1:14" x14ac:dyDescent="0.25">
      <c r="A285" s="39">
        <v>45542</v>
      </c>
      <c r="B285" t="s">
        <v>102</v>
      </c>
      <c r="C285" t="s">
        <v>107</v>
      </c>
      <c r="E285" s="26">
        <v>45505</v>
      </c>
      <c r="F285" s="26">
        <f t="shared" si="284"/>
        <v>45535</v>
      </c>
      <c r="G285" s="19">
        <f t="shared" si="285"/>
        <v>6</v>
      </c>
      <c r="H285" s="26">
        <f t="shared" si="286"/>
        <v>45534</v>
      </c>
      <c r="I285" s="26" t="str">
        <f t="shared" si="287"/>
        <v>Não</v>
      </c>
      <c r="J285" s="26">
        <f t="shared" si="288"/>
        <v>45534</v>
      </c>
      <c r="K285" s="26" t="str">
        <f t="shared" si="287"/>
        <v>Não</v>
      </c>
      <c r="L285" s="26">
        <f t="shared" si="289"/>
        <v>45534</v>
      </c>
      <c r="M285" s="26" t="str">
        <f t="shared" ref="M285" si="317">IF(ISNA(VLOOKUP(L285,$A:$A,1,0)),"Não","Sim")</f>
        <v>Não</v>
      </c>
      <c r="N285" s="26">
        <f t="shared" si="291"/>
        <v>45534</v>
      </c>
    </row>
    <row r="286" spans="1:14" x14ac:dyDescent="0.25">
      <c r="A286" s="39">
        <v>45577</v>
      </c>
      <c r="B286" t="s">
        <v>102</v>
      </c>
      <c r="C286" t="s">
        <v>108</v>
      </c>
      <c r="E286" s="26">
        <v>45536</v>
      </c>
      <c r="F286" s="26">
        <f t="shared" si="284"/>
        <v>45565</v>
      </c>
      <c r="G286" s="19">
        <f t="shared" si="285"/>
        <v>1</v>
      </c>
      <c r="H286" s="26">
        <f t="shared" si="286"/>
        <v>45565</v>
      </c>
      <c r="I286" s="26" t="str">
        <f t="shared" si="287"/>
        <v>Não</v>
      </c>
      <c r="J286" s="26">
        <f t="shared" si="288"/>
        <v>45565</v>
      </c>
      <c r="K286" s="26" t="str">
        <f t="shared" si="287"/>
        <v>Não</v>
      </c>
      <c r="L286" s="26">
        <f t="shared" si="289"/>
        <v>45565</v>
      </c>
      <c r="M286" s="26" t="str">
        <f t="shared" ref="M286" si="318">IF(ISNA(VLOOKUP(L286,$A:$A,1,0)),"Não","Sim")</f>
        <v>Não</v>
      </c>
      <c r="N286" s="26">
        <f t="shared" si="291"/>
        <v>45565</v>
      </c>
    </row>
    <row r="287" spans="1:14" x14ac:dyDescent="0.25">
      <c r="A287" s="39">
        <v>45598</v>
      </c>
      <c r="B287" t="s">
        <v>102</v>
      </c>
      <c r="C287" t="s">
        <v>109</v>
      </c>
      <c r="E287" s="26">
        <v>45566</v>
      </c>
      <c r="F287" s="26">
        <f t="shared" si="284"/>
        <v>45596</v>
      </c>
      <c r="G287" s="19">
        <f t="shared" si="285"/>
        <v>4</v>
      </c>
      <c r="H287" s="26">
        <f t="shared" si="286"/>
        <v>45596</v>
      </c>
      <c r="I287" s="26" t="str">
        <f t="shared" si="287"/>
        <v>Não</v>
      </c>
      <c r="J287" s="26">
        <f t="shared" si="288"/>
        <v>45596</v>
      </c>
      <c r="K287" s="26" t="str">
        <f t="shared" si="287"/>
        <v>Não</v>
      </c>
      <c r="L287" s="26">
        <f t="shared" si="289"/>
        <v>45596</v>
      </c>
      <c r="M287" s="26" t="str">
        <f t="shared" ref="M287" si="319">IF(ISNA(VLOOKUP(L287,$A:$A,1,0)),"Não","Sim")</f>
        <v>Não</v>
      </c>
      <c r="N287" s="26">
        <f t="shared" si="291"/>
        <v>45596</v>
      </c>
    </row>
    <row r="288" spans="1:14" x14ac:dyDescent="0.25">
      <c r="A288" s="39">
        <v>45611</v>
      </c>
      <c r="B288" t="s">
        <v>100</v>
      </c>
      <c r="C288" t="s">
        <v>110</v>
      </c>
      <c r="E288" s="26">
        <v>45597</v>
      </c>
      <c r="F288" s="26">
        <f t="shared" si="284"/>
        <v>45626</v>
      </c>
      <c r="G288" s="19">
        <f t="shared" si="285"/>
        <v>6</v>
      </c>
      <c r="H288" s="26">
        <f t="shared" si="286"/>
        <v>45625</v>
      </c>
      <c r="I288" s="26" t="str">
        <f t="shared" si="287"/>
        <v>Não</v>
      </c>
      <c r="J288" s="26">
        <f t="shared" si="288"/>
        <v>45625</v>
      </c>
      <c r="K288" s="26" t="str">
        <f t="shared" si="287"/>
        <v>Não</v>
      </c>
      <c r="L288" s="26">
        <f t="shared" si="289"/>
        <v>45625</v>
      </c>
      <c r="M288" s="26" t="str">
        <f t="shared" ref="M288" si="320">IF(ISNA(VLOOKUP(L288,$A:$A,1,0)),"Não","Sim")</f>
        <v>Não</v>
      </c>
      <c r="N288" s="26">
        <f t="shared" si="291"/>
        <v>45625</v>
      </c>
    </row>
    <row r="289" spans="1:14" x14ac:dyDescent="0.25">
      <c r="A289" s="39">
        <v>45651</v>
      </c>
      <c r="B289" t="s">
        <v>113</v>
      </c>
      <c r="C289" t="s">
        <v>111</v>
      </c>
      <c r="E289" s="26">
        <v>45627</v>
      </c>
      <c r="F289" s="26">
        <f t="shared" si="284"/>
        <v>45657</v>
      </c>
      <c r="G289" s="19">
        <f t="shared" si="285"/>
        <v>2</v>
      </c>
      <c r="H289" s="26">
        <f t="shared" si="286"/>
        <v>45657</v>
      </c>
      <c r="I289" s="26" t="str">
        <f t="shared" si="287"/>
        <v>Não</v>
      </c>
      <c r="J289" s="26">
        <f t="shared" si="288"/>
        <v>45657</v>
      </c>
      <c r="K289" s="26" t="str">
        <f t="shared" si="287"/>
        <v>Não</v>
      </c>
      <c r="L289" s="26">
        <f t="shared" si="289"/>
        <v>45657</v>
      </c>
      <c r="M289" s="26" t="str">
        <f t="shared" ref="M289" si="321">IF(ISNA(VLOOKUP(L289,$A:$A,1,0)),"Não","Sim")</f>
        <v>Não</v>
      </c>
      <c r="N289" s="26">
        <f t="shared" si="291"/>
        <v>45657</v>
      </c>
    </row>
    <row r="290" spans="1:14" x14ac:dyDescent="0.25">
      <c r="A290" s="39">
        <v>45658</v>
      </c>
      <c r="B290" t="s">
        <v>113</v>
      </c>
      <c r="C290" t="s">
        <v>97</v>
      </c>
      <c r="E290" s="26">
        <v>45658</v>
      </c>
      <c r="F290" s="26">
        <f t="shared" si="284"/>
        <v>45688</v>
      </c>
      <c r="G290" s="19">
        <f t="shared" si="285"/>
        <v>5</v>
      </c>
      <c r="H290" s="26">
        <f t="shared" si="286"/>
        <v>45688</v>
      </c>
      <c r="I290" s="26" t="str">
        <f t="shared" si="287"/>
        <v>Não</v>
      </c>
      <c r="J290" s="26">
        <f t="shared" si="288"/>
        <v>45688</v>
      </c>
      <c r="K290" s="26" t="str">
        <f t="shared" si="287"/>
        <v>Não</v>
      </c>
      <c r="L290" s="26">
        <f t="shared" si="289"/>
        <v>45688</v>
      </c>
      <c r="M290" s="26" t="str">
        <f t="shared" ref="M290" si="322">IF(ISNA(VLOOKUP(L290,$A:$A,1,0)),"Não","Sim")</f>
        <v>Não</v>
      </c>
      <c r="N290" s="26">
        <f t="shared" si="291"/>
        <v>45688</v>
      </c>
    </row>
    <row r="291" spans="1:14" x14ac:dyDescent="0.25">
      <c r="A291" s="39">
        <v>45719</v>
      </c>
      <c r="B291" t="s">
        <v>96</v>
      </c>
      <c r="C291" t="s">
        <v>98</v>
      </c>
      <c r="E291" s="26">
        <v>45689</v>
      </c>
      <c r="F291" s="26">
        <f t="shared" si="284"/>
        <v>45716</v>
      </c>
      <c r="G291" s="19">
        <f t="shared" si="285"/>
        <v>5</v>
      </c>
      <c r="H291" s="26">
        <f t="shared" si="286"/>
        <v>45716</v>
      </c>
      <c r="I291" s="26" t="str">
        <f t="shared" si="287"/>
        <v>Não</v>
      </c>
      <c r="J291" s="26">
        <f t="shared" si="288"/>
        <v>45716</v>
      </c>
      <c r="K291" s="26" t="str">
        <f t="shared" si="287"/>
        <v>Não</v>
      </c>
      <c r="L291" s="26">
        <f t="shared" si="289"/>
        <v>45716</v>
      </c>
      <c r="M291" s="26" t="str">
        <f t="shared" ref="M291" si="323">IF(ISNA(VLOOKUP(L291,$A:$A,1,0)),"Não","Sim")</f>
        <v>Não</v>
      </c>
      <c r="N291" s="26">
        <f t="shared" si="291"/>
        <v>45716</v>
      </c>
    </row>
    <row r="292" spans="1:14" x14ac:dyDescent="0.25">
      <c r="A292" s="39">
        <v>45720</v>
      </c>
      <c r="B292" t="s">
        <v>99</v>
      </c>
      <c r="C292" t="s">
        <v>98</v>
      </c>
      <c r="E292" s="26">
        <v>45717</v>
      </c>
      <c r="F292" s="26">
        <f t="shared" si="284"/>
        <v>45747</v>
      </c>
      <c r="G292" s="19">
        <f t="shared" si="285"/>
        <v>1</v>
      </c>
      <c r="H292" s="26">
        <f t="shared" si="286"/>
        <v>45747</v>
      </c>
      <c r="I292" s="26" t="str">
        <f t="shared" si="287"/>
        <v>Não</v>
      </c>
      <c r="J292" s="26">
        <f t="shared" si="288"/>
        <v>45747</v>
      </c>
      <c r="K292" s="26" t="str">
        <f t="shared" si="287"/>
        <v>Não</v>
      </c>
      <c r="L292" s="26">
        <f t="shared" si="289"/>
        <v>45747</v>
      </c>
      <c r="M292" s="26" t="str">
        <f t="shared" ref="M292" si="324">IF(ISNA(VLOOKUP(L292,$A:$A,1,0)),"Não","Sim")</f>
        <v>Não</v>
      </c>
      <c r="N292" s="26">
        <f t="shared" si="291"/>
        <v>45747</v>
      </c>
    </row>
    <row r="293" spans="1:14" x14ac:dyDescent="0.25">
      <c r="A293" s="39">
        <v>45765</v>
      </c>
      <c r="B293" t="s">
        <v>100</v>
      </c>
      <c r="C293" t="s">
        <v>101</v>
      </c>
      <c r="E293" s="26">
        <v>45748</v>
      </c>
      <c r="F293" s="26">
        <f t="shared" si="284"/>
        <v>45777</v>
      </c>
      <c r="G293" s="19">
        <f t="shared" si="285"/>
        <v>3</v>
      </c>
      <c r="H293" s="26">
        <f t="shared" si="286"/>
        <v>45777</v>
      </c>
      <c r="I293" s="26" t="str">
        <f t="shared" si="287"/>
        <v>Não</v>
      </c>
      <c r="J293" s="26">
        <f t="shared" si="288"/>
        <v>45777</v>
      </c>
      <c r="K293" s="26" t="str">
        <f t="shared" si="287"/>
        <v>Não</v>
      </c>
      <c r="L293" s="26">
        <f t="shared" si="289"/>
        <v>45777</v>
      </c>
      <c r="M293" s="26" t="str">
        <f t="shared" ref="M293" si="325">IF(ISNA(VLOOKUP(L293,$A:$A,1,0)),"Não","Sim")</f>
        <v>Não</v>
      </c>
      <c r="N293" s="26">
        <f t="shared" si="291"/>
        <v>45777</v>
      </c>
    </row>
    <row r="294" spans="1:14" x14ac:dyDescent="0.25">
      <c r="A294" s="39">
        <v>45768</v>
      </c>
      <c r="B294" t="s">
        <v>96</v>
      </c>
      <c r="C294" t="s">
        <v>103</v>
      </c>
      <c r="E294" s="26">
        <v>45778</v>
      </c>
      <c r="F294" s="26">
        <f t="shared" si="284"/>
        <v>45808</v>
      </c>
      <c r="G294" s="19">
        <f t="shared" si="285"/>
        <v>6</v>
      </c>
      <c r="H294" s="26">
        <f t="shared" si="286"/>
        <v>45807</v>
      </c>
      <c r="I294" s="26" t="str">
        <f t="shared" si="287"/>
        <v>Não</v>
      </c>
      <c r="J294" s="26">
        <f t="shared" si="288"/>
        <v>45807</v>
      </c>
      <c r="K294" s="26" t="str">
        <f t="shared" si="287"/>
        <v>Não</v>
      </c>
      <c r="L294" s="26">
        <f t="shared" si="289"/>
        <v>45807</v>
      </c>
      <c r="M294" s="26" t="str">
        <f t="shared" ref="M294" si="326">IF(ISNA(VLOOKUP(L294,$A:$A,1,0)),"Não","Sim")</f>
        <v>Não</v>
      </c>
      <c r="N294" s="26">
        <f t="shared" si="291"/>
        <v>45807</v>
      </c>
    </row>
    <row r="295" spans="1:14" x14ac:dyDescent="0.25">
      <c r="A295" s="39">
        <v>45778</v>
      </c>
      <c r="B295" t="s">
        <v>105</v>
      </c>
      <c r="C295" t="s">
        <v>104</v>
      </c>
      <c r="E295" s="26">
        <v>45809</v>
      </c>
      <c r="F295" s="26">
        <f t="shared" si="284"/>
        <v>45838</v>
      </c>
      <c r="G295" s="19">
        <f t="shared" si="285"/>
        <v>1</v>
      </c>
      <c r="H295" s="26">
        <f t="shared" si="286"/>
        <v>45838</v>
      </c>
      <c r="I295" s="26" t="str">
        <f t="shared" si="287"/>
        <v>Não</v>
      </c>
      <c r="J295" s="26">
        <f t="shared" si="288"/>
        <v>45838</v>
      </c>
      <c r="K295" s="26" t="str">
        <f t="shared" si="287"/>
        <v>Não</v>
      </c>
      <c r="L295" s="26">
        <f t="shared" si="289"/>
        <v>45838</v>
      </c>
      <c r="M295" s="26" t="str">
        <f t="shared" ref="M295" si="327">IF(ISNA(VLOOKUP(L295,$A:$A,1,0)),"Não","Sim")</f>
        <v>Não</v>
      </c>
      <c r="N295" s="26">
        <f t="shared" si="291"/>
        <v>45838</v>
      </c>
    </row>
    <row r="296" spans="1:14" x14ac:dyDescent="0.25">
      <c r="A296" s="39">
        <v>45827</v>
      </c>
      <c r="B296" t="s">
        <v>105</v>
      </c>
      <c r="C296" t="s">
        <v>106</v>
      </c>
      <c r="E296" s="26">
        <v>45839</v>
      </c>
      <c r="F296" s="26">
        <f t="shared" si="284"/>
        <v>45869</v>
      </c>
      <c r="G296" s="19">
        <f t="shared" si="285"/>
        <v>4</v>
      </c>
      <c r="H296" s="26">
        <f t="shared" si="286"/>
        <v>45869</v>
      </c>
      <c r="I296" s="26" t="str">
        <f t="shared" si="287"/>
        <v>Não</v>
      </c>
      <c r="J296" s="26">
        <f t="shared" si="288"/>
        <v>45869</v>
      </c>
      <c r="K296" s="26" t="str">
        <f t="shared" si="287"/>
        <v>Não</v>
      </c>
      <c r="L296" s="26">
        <f t="shared" si="289"/>
        <v>45869</v>
      </c>
      <c r="M296" s="26" t="str">
        <f t="shared" ref="M296" si="328">IF(ISNA(VLOOKUP(L296,$A:$A,1,0)),"Não","Sim")</f>
        <v>Não</v>
      </c>
      <c r="N296" s="26">
        <f t="shared" si="291"/>
        <v>45869</v>
      </c>
    </row>
    <row r="297" spans="1:14" x14ac:dyDescent="0.25">
      <c r="A297" s="39">
        <v>45907</v>
      </c>
      <c r="B297" t="s">
        <v>112</v>
      </c>
      <c r="C297" t="s">
        <v>107</v>
      </c>
      <c r="E297" s="26">
        <v>45870</v>
      </c>
      <c r="F297" s="26">
        <f t="shared" si="284"/>
        <v>45900</v>
      </c>
      <c r="G297" s="19">
        <f t="shared" si="285"/>
        <v>7</v>
      </c>
      <c r="H297" s="26">
        <f t="shared" si="286"/>
        <v>45898</v>
      </c>
      <c r="I297" s="26" t="str">
        <f t="shared" si="287"/>
        <v>Não</v>
      </c>
      <c r="J297" s="26">
        <f t="shared" si="288"/>
        <v>45898</v>
      </c>
      <c r="K297" s="26" t="str">
        <f t="shared" si="287"/>
        <v>Não</v>
      </c>
      <c r="L297" s="26">
        <f t="shared" si="289"/>
        <v>45898</v>
      </c>
      <c r="M297" s="26" t="str">
        <f t="shared" ref="M297" si="329">IF(ISNA(VLOOKUP(L297,$A:$A,1,0)),"Não","Sim")</f>
        <v>Não</v>
      </c>
      <c r="N297" s="26">
        <f t="shared" si="291"/>
        <v>45898</v>
      </c>
    </row>
    <row r="298" spans="1:14" x14ac:dyDescent="0.25">
      <c r="A298" s="39">
        <v>45942</v>
      </c>
      <c r="B298" t="s">
        <v>112</v>
      </c>
      <c r="C298" t="s">
        <v>108</v>
      </c>
      <c r="E298" s="26">
        <v>45901</v>
      </c>
      <c r="F298" s="26">
        <f t="shared" si="284"/>
        <v>45930</v>
      </c>
      <c r="G298" s="19">
        <f t="shared" si="285"/>
        <v>2</v>
      </c>
      <c r="H298" s="26">
        <f t="shared" si="286"/>
        <v>45930</v>
      </c>
      <c r="I298" s="26" t="str">
        <f t="shared" si="287"/>
        <v>Não</v>
      </c>
      <c r="J298" s="26">
        <f t="shared" si="288"/>
        <v>45930</v>
      </c>
      <c r="K298" s="26" t="str">
        <f t="shared" si="287"/>
        <v>Não</v>
      </c>
      <c r="L298" s="26">
        <f t="shared" si="289"/>
        <v>45930</v>
      </c>
      <c r="M298" s="26" t="str">
        <f t="shared" ref="M298" si="330">IF(ISNA(VLOOKUP(L298,$A:$A,1,0)),"Não","Sim")</f>
        <v>Não</v>
      </c>
      <c r="N298" s="26">
        <f t="shared" si="291"/>
        <v>45930</v>
      </c>
    </row>
    <row r="299" spans="1:14" x14ac:dyDescent="0.25">
      <c r="A299" s="39">
        <v>45963</v>
      </c>
      <c r="B299" t="s">
        <v>112</v>
      </c>
      <c r="C299" t="s">
        <v>109</v>
      </c>
      <c r="E299" s="26">
        <v>45931</v>
      </c>
      <c r="F299" s="26">
        <f t="shared" si="284"/>
        <v>45961</v>
      </c>
      <c r="G299" s="19">
        <f t="shared" si="285"/>
        <v>5</v>
      </c>
      <c r="H299" s="26">
        <f t="shared" si="286"/>
        <v>45961</v>
      </c>
      <c r="I299" s="26" t="str">
        <f t="shared" si="287"/>
        <v>Não</v>
      </c>
      <c r="J299" s="26">
        <f t="shared" si="288"/>
        <v>45961</v>
      </c>
      <c r="K299" s="26" t="str">
        <f t="shared" si="287"/>
        <v>Não</v>
      </c>
      <c r="L299" s="26">
        <f t="shared" si="289"/>
        <v>45961</v>
      </c>
      <c r="M299" s="26" t="str">
        <f t="shared" ref="M299" si="331">IF(ISNA(VLOOKUP(L299,$A:$A,1,0)),"Não","Sim")</f>
        <v>Não</v>
      </c>
      <c r="N299" s="26">
        <f t="shared" si="291"/>
        <v>45961</v>
      </c>
    </row>
    <row r="300" spans="1:14" x14ac:dyDescent="0.25">
      <c r="A300" s="39">
        <v>45976</v>
      </c>
      <c r="B300" t="s">
        <v>102</v>
      </c>
      <c r="C300" t="s">
        <v>110</v>
      </c>
      <c r="E300" s="26">
        <v>45962</v>
      </c>
      <c r="F300" s="26">
        <f t="shared" si="284"/>
        <v>45991</v>
      </c>
      <c r="G300" s="19">
        <f t="shared" si="285"/>
        <v>7</v>
      </c>
      <c r="H300" s="26">
        <f t="shared" si="286"/>
        <v>45989</v>
      </c>
      <c r="I300" s="26" t="str">
        <f t="shared" si="287"/>
        <v>Não</v>
      </c>
      <c r="J300" s="26">
        <f t="shared" si="288"/>
        <v>45989</v>
      </c>
      <c r="K300" s="26" t="str">
        <f t="shared" si="287"/>
        <v>Não</v>
      </c>
      <c r="L300" s="26">
        <f t="shared" si="289"/>
        <v>45989</v>
      </c>
      <c r="M300" s="26" t="str">
        <f t="shared" ref="M300" si="332">IF(ISNA(VLOOKUP(L300,$A:$A,1,0)),"Não","Sim")</f>
        <v>Não</v>
      </c>
      <c r="N300" s="26">
        <f t="shared" si="291"/>
        <v>45989</v>
      </c>
    </row>
    <row r="301" spans="1:14" x14ac:dyDescent="0.25">
      <c r="A301" s="39">
        <v>46016</v>
      </c>
      <c r="B301" t="s">
        <v>105</v>
      </c>
      <c r="C301" t="s">
        <v>111</v>
      </c>
      <c r="E301" s="26">
        <v>45992</v>
      </c>
      <c r="F301" s="26">
        <f t="shared" si="284"/>
        <v>46022</v>
      </c>
      <c r="G301" s="19">
        <f t="shared" si="285"/>
        <v>3</v>
      </c>
      <c r="H301" s="26">
        <f t="shared" si="286"/>
        <v>46022</v>
      </c>
      <c r="I301" s="26" t="str">
        <f t="shared" si="287"/>
        <v>Não</v>
      </c>
      <c r="J301" s="26">
        <f t="shared" si="288"/>
        <v>46022</v>
      </c>
      <c r="K301" s="26" t="str">
        <f t="shared" si="287"/>
        <v>Não</v>
      </c>
      <c r="L301" s="26">
        <f t="shared" si="289"/>
        <v>46022</v>
      </c>
      <c r="M301" s="26" t="str">
        <f t="shared" ref="M301" si="333">IF(ISNA(VLOOKUP(L301,$A:$A,1,0)),"Não","Sim")</f>
        <v>Não</v>
      </c>
      <c r="N301" s="26">
        <f t="shared" si="291"/>
        <v>46022</v>
      </c>
    </row>
    <row r="302" spans="1:14" x14ac:dyDescent="0.25">
      <c r="A302" s="39">
        <v>46023</v>
      </c>
      <c r="B302" t="s">
        <v>105</v>
      </c>
      <c r="C302" t="s">
        <v>97</v>
      </c>
      <c r="E302" s="26">
        <v>46023</v>
      </c>
      <c r="F302" s="26">
        <f t="shared" si="284"/>
        <v>46053</v>
      </c>
      <c r="G302" s="19">
        <f t="shared" si="285"/>
        <v>6</v>
      </c>
      <c r="H302" s="26">
        <f t="shared" si="286"/>
        <v>46052</v>
      </c>
      <c r="I302" s="26" t="str">
        <f t="shared" si="287"/>
        <v>Não</v>
      </c>
      <c r="J302" s="26">
        <f t="shared" si="288"/>
        <v>46052</v>
      </c>
      <c r="K302" s="26" t="str">
        <f t="shared" si="287"/>
        <v>Não</v>
      </c>
      <c r="L302" s="26">
        <f t="shared" si="289"/>
        <v>46052</v>
      </c>
      <c r="M302" s="26" t="str">
        <f t="shared" ref="M302" si="334">IF(ISNA(VLOOKUP(L302,$A:$A,1,0)),"Não","Sim")</f>
        <v>Não</v>
      </c>
      <c r="N302" s="26">
        <f t="shared" si="291"/>
        <v>46052</v>
      </c>
    </row>
    <row r="303" spans="1:14" x14ac:dyDescent="0.25">
      <c r="A303" s="39">
        <v>46069</v>
      </c>
      <c r="B303" t="s">
        <v>96</v>
      </c>
      <c r="C303" t="s">
        <v>98</v>
      </c>
      <c r="E303" s="26">
        <v>46054</v>
      </c>
      <c r="F303" s="26">
        <f t="shared" si="284"/>
        <v>46081</v>
      </c>
      <c r="G303" s="19">
        <f t="shared" si="285"/>
        <v>6</v>
      </c>
      <c r="H303" s="26">
        <f t="shared" si="286"/>
        <v>46080</v>
      </c>
      <c r="I303" s="26" t="str">
        <f t="shared" si="287"/>
        <v>Não</v>
      </c>
      <c r="J303" s="26">
        <f t="shared" si="288"/>
        <v>46080</v>
      </c>
      <c r="K303" s="26" t="str">
        <f t="shared" si="287"/>
        <v>Não</v>
      </c>
      <c r="L303" s="26">
        <f t="shared" si="289"/>
        <v>46080</v>
      </c>
      <c r="M303" s="26" t="str">
        <f t="shared" ref="M303" si="335">IF(ISNA(VLOOKUP(L303,$A:$A,1,0)),"Não","Sim")</f>
        <v>Não</v>
      </c>
      <c r="N303" s="26">
        <f t="shared" si="291"/>
        <v>46080</v>
      </c>
    </row>
    <row r="304" spans="1:14" x14ac:dyDescent="0.25">
      <c r="A304" s="39">
        <v>46070</v>
      </c>
      <c r="B304" t="s">
        <v>99</v>
      </c>
      <c r="C304" t="s">
        <v>98</v>
      </c>
      <c r="E304" s="26">
        <v>46082</v>
      </c>
      <c r="F304" s="26">
        <f t="shared" si="284"/>
        <v>46112</v>
      </c>
      <c r="G304" s="19">
        <f t="shared" si="285"/>
        <v>2</v>
      </c>
      <c r="H304" s="26">
        <f t="shared" si="286"/>
        <v>46112</v>
      </c>
      <c r="I304" s="26" t="str">
        <f t="shared" si="287"/>
        <v>Não</v>
      </c>
      <c r="J304" s="26">
        <f t="shared" si="288"/>
        <v>46112</v>
      </c>
      <c r="K304" s="26" t="str">
        <f t="shared" si="287"/>
        <v>Não</v>
      </c>
      <c r="L304" s="26">
        <f t="shared" si="289"/>
        <v>46112</v>
      </c>
      <c r="M304" s="26" t="str">
        <f t="shared" ref="M304" si="336">IF(ISNA(VLOOKUP(L304,$A:$A,1,0)),"Não","Sim")</f>
        <v>Não</v>
      </c>
      <c r="N304" s="26">
        <f t="shared" si="291"/>
        <v>46112</v>
      </c>
    </row>
    <row r="305" spans="1:14" x14ac:dyDescent="0.25">
      <c r="A305" s="39">
        <v>46115</v>
      </c>
      <c r="B305" t="s">
        <v>100</v>
      </c>
      <c r="C305" t="s">
        <v>101</v>
      </c>
      <c r="E305" s="26">
        <v>46113</v>
      </c>
      <c r="F305" s="26">
        <f t="shared" si="284"/>
        <v>46142</v>
      </c>
      <c r="G305" s="19">
        <f t="shared" si="285"/>
        <v>4</v>
      </c>
      <c r="H305" s="26">
        <f t="shared" si="286"/>
        <v>46142</v>
      </c>
      <c r="I305" s="26" t="str">
        <f t="shared" si="287"/>
        <v>Não</v>
      </c>
      <c r="J305" s="26">
        <f t="shared" si="288"/>
        <v>46142</v>
      </c>
      <c r="K305" s="26" t="str">
        <f t="shared" si="287"/>
        <v>Não</v>
      </c>
      <c r="L305" s="26">
        <f t="shared" si="289"/>
        <v>46142</v>
      </c>
      <c r="M305" s="26" t="str">
        <f t="shared" ref="M305" si="337">IF(ISNA(VLOOKUP(L305,$A:$A,1,0)),"Não","Sim")</f>
        <v>Não</v>
      </c>
      <c r="N305" s="26">
        <f t="shared" si="291"/>
        <v>46142</v>
      </c>
    </row>
    <row r="306" spans="1:14" x14ac:dyDescent="0.25">
      <c r="A306" s="39">
        <v>46133</v>
      </c>
      <c r="B306" t="s">
        <v>99</v>
      </c>
      <c r="C306" t="s">
        <v>103</v>
      </c>
      <c r="E306" s="26">
        <v>46143</v>
      </c>
      <c r="F306" s="26">
        <f t="shared" si="284"/>
        <v>46173</v>
      </c>
      <c r="G306" s="19">
        <f t="shared" si="285"/>
        <v>7</v>
      </c>
      <c r="H306" s="26">
        <f t="shared" si="286"/>
        <v>46171</v>
      </c>
      <c r="I306" s="26" t="str">
        <f t="shared" si="287"/>
        <v>Não</v>
      </c>
      <c r="J306" s="26">
        <f t="shared" si="288"/>
        <v>46171</v>
      </c>
      <c r="K306" s="26" t="str">
        <f t="shared" si="287"/>
        <v>Não</v>
      </c>
      <c r="L306" s="26">
        <f t="shared" si="289"/>
        <v>46171</v>
      </c>
      <c r="M306" s="26" t="str">
        <f t="shared" ref="M306" si="338">IF(ISNA(VLOOKUP(L306,$A:$A,1,0)),"Não","Sim")</f>
        <v>Não</v>
      </c>
      <c r="N306" s="26">
        <f t="shared" si="291"/>
        <v>46171</v>
      </c>
    </row>
    <row r="307" spans="1:14" x14ac:dyDescent="0.25">
      <c r="A307" s="39">
        <v>46143</v>
      </c>
      <c r="B307" t="s">
        <v>100</v>
      </c>
      <c r="C307" t="s">
        <v>104</v>
      </c>
      <c r="E307" s="26">
        <v>46174</v>
      </c>
      <c r="F307" s="26">
        <f t="shared" si="284"/>
        <v>46203</v>
      </c>
      <c r="G307" s="19">
        <f t="shared" si="285"/>
        <v>2</v>
      </c>
      <c r="H307" s="26">
        <f t="shared" si="286"/>
        <v>46203</v>
      </c>
      <c r="I307" s="26" t="str">
        <f t="shared" si="287"/>
        <v>Não</v>
      </c>
      <c r="J307" s="26">
        <f t="shared" si="288"/>
        <v>46203</v>
      </c>
      <c r="K307" s="26" t="str">
        <f t="shared" si="287"/>
        <v>Não</v>
      </c>
      <c r="L307" s="26">
        <f t="shared" si="289"/>
        <v>46203</v>
      </c>
      <c r="M307" s="26" t="str">
        <f t="shared" ref="M307" si="339">IF(ISNA(VLOOKUP(L307,$A:$A,1,0)),"Não","Sim")</f>
        <v>Não</v>
      </c>
      <c r="N307" s="26">
        <f t="shared" si="291"/>
        <v>46203</v>
      </c>
    </row>
    <row r="308" spans="1:14" x14ac:dyDescent="0.25">
      <c r="A308" s="39">
        <v>46177</v>
      </c>
      <c r="B308" t="s">
        <v>105</v>
      </c>
      <c r="C308" t="s">
        <v>106</v>
      </c>
      <c r="E308" s="26">
        <v>46204</v>
      </c>
      <c r="F308" s="26">
        <f t="shared" si="284"/>
        <v>46234</v>
      </c>
      <c r="G308" s="19">
        <f t="shared" si="285"/>
        <v>5</v>
      </c>
      <c r="H308" s="26">
        <f t="shared" si="286"/>
        <v>46234</v>
      </c>
      <c r="I308" s="26" t="str">
        <f t="shared" si="287"/>
        <v>Não</v>
      </c>
      <c r="J308" s="26">
        <f t="shared" si="288"/>
        <v>46234</v>
      </c>
      <c r="K308" s="26" t="str">
        <f t="shared" si="287"/>
        <v>Não</v>
      </c>
      <c r="L308" s="26">
        <f t="shared" si="289"/>
        <v>46234</v>
      </c>
      <c r="M308" s="26" t="str">
        <f t="shared" ref="M308" si="340">IF(ISNA(VLOOKUP(L308,$A:$A,1,0)),"Não","Sim")</f>
        <v>Não</v>
      </c>
      <c r="N308" s="26">
        <f t="shared" si="291"/>
        <v>46234</v>
      </c>
    </row>
    <row r="309" spans="1:14" x14ac:dyDescent="0.25">
      <c r="A309" s="39">
        <v>46272</v>
      </c>
      <c r="B309" t="s">
        <v>96</v>
      </c>
      <c r="C309" t="s">
        <v>107</v>
      </c>
      <c r="E309" s="26">
        <v>46235</v>
      </c>
      <c r="F309" s="26">
        <f t="shared" si="284"/>
        <v>46265</v>
      </c>
      <c r="G309" s="19">
        <f t="shared" si="285"/>
        <v>1</v>
      </c>
      <c r="H309" s="26">
        <f t="shared" si="286"/>
        <v>46265</v>
      </c>
      <c r="I309" s="26" t="str">
        <f t="shared" si="287"/>
        <v>Não</v>
      </c>
      <c r="J309" s="26">
        <f t="shared" si="288"/>
        <v>46265</v>
      </c>
      <c r="K309" s="26" t="str">
        <f t="shared" si="287"/>
        <v>Não</v>
      </c>
      <c r="L309" s="26">
        <f t="shared" si="289"/>
        <v>46265</v>
      </c>
      <c r="M309" s="26" t="str">
        <f t="shared" ref="M309" si="341">IF(ISNA(VLOOKUP(L309,$A:$A,1,0)),"Não","Sim")</f>
        <v>Não</v>
      </c>
      <c r="N309" s="26">
        <f t="shared" si="291"/>
        <v>46265</v>
      </c>
    </row>
    <row r="310" spans="1:14" x14ac:dyDescent="0.25">
      <c r="A310" s="39">
        <v>46307</v>
      </c>
      <c r="B310" t="s">
        <v>96</v>
      </c>
      <c r="C310" t="s">
        <v>108</v>
      </c>
      <c r="E310" s="26">
        <v>46266</v>
      </c>
      <c r="F310" s="26">
        <f t="shared" si="284"/>
        <v>46295</v>
      </c>
      <c r="G310" s="19">
        <f t="shared" si="285"/>
        <v>3</v>
      </c>
      <c r="H310" s="26">
        <f t="shared" si="286"/>
        <v>46295</v>
      </c>
      <c r="I310" s="26" t="str">
        <f t="shared" si="287"/>
        <v>Não</v>
      </c>
      <c r="J310" s="26">
        <f t="shared" si="288"/>
        <v>46295</v>
      </c>
      <c r="K310" s="26" t="str">
        <f t="shared" si="287"/>
        <v>Não</v>
      </c>
      <c r="L310" s="26">
        <f t="shared" si="289"/>
        <v>46295</v>
      </c>
      <c r="M310" s="26" t="str">
        <f t="shared" ref="M310" si="342">IF(ISNA(VLOOKUP(L310,$A:$A,1,0)),"Não","Sim")</f>
        <v>Não</v>
      </c>
      <c r="N310" s="26">
        <f t="shared" si="291"/>
        <v>46295</v>
      </c>
    </row>
    <row r="311" spans="1:14" x14ac:dyDescent="0.25">
      <c r="A311" s="39">
        <v>46328</v>
      </c>
      <c r="B311" t="s">
        <v>96</v>
      </c>
      <c r="C311" t="s">
        <v>109</v>
      </c>
      <c r="E311" s="26">
        <v>46296</v>
      </c>
      <c r="F311" s="26">
        <f t="shared" si="284"/>
        <v>46326</v>
      </c>
      <c r="G311" s="19">
        <f t="shared" si="285"/>
        <v>6</v>
      </c>
      <c r="H311" s="26">
        <f t="shared" si="286"/>
        <v>46325</v>
      </c>
      <c r="I311" s="26" t="str">
        <f t="shared" si="287"/>
        <v>Não</v>
      </c>
      <c r="J311" s="26">
        <f t="shared" si="288"/>
        <v>46325</v>
      </c>
      <c r="K311" s="26" t="str">
        <f t="shared" si="287"/>
        <v>Não</v>
      </c>
      <c r="L311" s="26">
        <f t="shared" si="289"/>
        <v>46325</v>
      </c>
      <c r="M311" s="26" t="str">
        <f t="shared" ref="M311" si="343">IF(ISNA(VLOOKUP(L311,$A:$A,1,0)),"Não","Sim")</f>
        <v>Não</v>
      </c>
      <c r="N311" s="26">
        <f t="shared" si="291"/>
        <v>46325</v>
      </c>
    </row>
    <row r="312" spans="1:14" x14ac:dyDescent="0.25">
      <c r="A312" s="39">
        <v>46341</v>
      </c>
      <c r="B312" t="s">
        <v>112</v>
      </c>
      <c r="C312" t="s">
        <v>110</v>
      </c>
      <c r="E312" s="26">
        <v>46327</v>
      </c>
      <c r="F312" s="26">
        <f t="shared" si="284"/>
        <v>46356</v>
      </c>
      <c r="G312" s="19">
        <f t="shared" si="285"/>
        <v>1</v>
      </c>
      <c r="H312" s="26">
        <f t="shared" si="286"/>
        <v>46356</v>
      </c>
      <c r="I312" s="26" t="str">
        <f t="shared" si="287"/>
        <v>Não</v>
      </c>
      <c r="J312" s="26">
        <f t="shared" si="288"/>
        <v>46356</v>
      </c>
      <c r="K312" s="26" t="str">
        <f t="shared" si="287"/>
        <v>Não</v>
      </c>
      <c r="L312" s="26">
        <f t="shared" si="289"/>
        <v>46356</v>
      </c>
      <c r="M312" s="26" t="str">
        <f t="shared" ref="M312" si="344">IF(ISNA(VLOOKUP(L312,$A:$A,1,0)),"Não","Sim")</f>
        <v>Não</v>
      </c>
      <c r="N312" s="26">
        <f t="shared" si="291"/>
        <v>46356</v>
      </c>
    </row>
    <row r="313" spans="1:14" x14ac:dyDescent="0.25">
      <c r="A313" s="39">
        <v>46381</v>
      </c>
      <c r="B313" t="s">
        <v>100</v>
      </c>
      <c r="C313" t="s">
        <v>111</v>
      </c>
      <c r="E313" s="26">
        <v>46357</v>
      </c>
      <c r="F313" s="26">
        <f t="shared" si="284"/>
        <v>46387</v>
      </c>
      <c r="G313" s="19">
        <f t="shared" si="285"/>
        <v>4</v>
      </c>
      <c r="H313" s="26">
        <f t="shared" si="286"/>
        <v>46387</v>
      </c>
      <c r="I313" s="26" t="str">
        <f t="shared" si="287"/>
        <v>Não</v>
      </c>
      <c r="J313" s="26">
        <f t="shared" si="288"/>
        <v>46387</v>
      </c>
      <c r="K313" s="26" t="str">
        <f t="shared" si="287"/>
        <v>Não</v>
      </c>
      <c r="L313" s="26">
        <f t="shared" si="289"/>
        <v>46387</v>
      </c>
      <c r="M313" s="26" t="str">
        <f t="shared" ref="M313" si="345">IF(ISNA(VLOOKUP(L313,$A:$A,1,0)),"Não","Sim")</f>
        <v>Não</v>
      </c>
      <c r="N313" s="26">
        <f t="shared" si="291"/>
        <v>46387</v>
      </c>
    </row>
    <row r="314" spans="1:14" x14ac:dyDescent="0.25">
      <c r="A314" s="39">
        <v>46388</v>
      </c>
      <c r="B314" t="s">
        <v>100</v>
      </c>
      <c r="C314" t="s">
        <v>97</v>
      </c>
      <c r="E314" s="26">
        <v>46388</v>
      </c>
      <c r="F314" s="26">
        <f t="shared" si="284"/>
        <v>46418</v>
      </c>
      <c r="G314" s="19">
        <f t="shared" si="285"/>
        <v>7</v>
      </c>
      <c r="H314" s="26">
        <f t="shared" si="286"/>
        <v>46416</v>
      </c>
      <c r="I314" s="26" t="str">
        <f t="shared" si="287"/>
        <v>Não</v>
      </c>
      <c r="J314" s="26">
        <f t="shared" si="288"/>
        <v>46416</v>
      </c>
      <c r="K314" s="26" t="str">
        <f t="shared" si="287"/>
        <v>Não</v>
      </c>
      <c r="L314" s="26">
        <f t="shared" si="289"/>
        <v>46416</v>
      </c>
      <c r="M314" s="26" t="str">
        <f t="shared" ref="M314" si="346">IF(ISNA(VLOOKUP(L314,$A:$A,1,0)),"Não","Sim")</f>
        <v>Não</v>
      </c>
      <c r="N314" s="26">
        <f t="shared" si="291"/>
        <v>46416</v>
      </c>
    </row>
    <row r="315" spans="1:14" x14ac:dyDescent="0.25">
      <c r="A315" s="39">
        <v>46426</v>
      </c>
      <c r="B315" t="s">
        <v>96</v>
      </c>
      <c r="C315" t="s">
        <v>98</v>
      </c>
      <c r="E315" s="26">
        <v>46419</v>
      </c>
      <c r="F315" s="26">
        <f t="shared" si="284"/>
        <v>46446</v>
      </c>
      <c r="G315" s="19">
        <f t="shared" si="285"/>
        <v>7</v>
      </c>
      <c r="H315" s="26">
        <f t="shared" si="286"/>
        <v>46444</v>
      </c>
      <c r="I315" s="26" t="str">
        <f t="shared" si="287"/>
        <v>Não</v>
      </c>
      <c r="J315" s="26">
        <f t="shared" si="288"/>
        <v>46444</v>
      </c>
      <c r="K315" s="26" t="str">
        <f t="shared" si="287"/>
        <v>Não</v>
      </c>
      <c r="L315" s="26">
        <f t="shared" si="289"/>
        <v>46444</v>
      </c>
      <c r="M315" s="26" t="str">
        <f t="shared" ref="M315" si="347">IF(ISNA(VLOOKUP(L315,$A:$A,1,0)),"Não","Sim")</f>
        <v>Não</v>
      </c>
      <c r="N315" s="26">
        <f t="shared" si="291"/>
        <v>46444</v>
      </c>
    </row>
    <row r="316" spans="1:14" x14ac:dyDescent="0.25">
      <c r="A316" s="39">
        <v>46427</v>
      </c>
      <c r="B316" t="s">
        <v>99</v>
      </c>
      <c r="C316" t="s">
        <v>98</v>
      </c>
      <c r="E316" s="26">
        <v>46447</v>
      </c>
      <c r="F316" s="26">
        <f t="shared" si="284"/>
        <v>46477</v>
      </c>
      <c r="G316" s="19">
        <f t="shared" si="285"/>
        <v>3</v>
      </c>
      <c r="H316" s="26">
        <f t="shared" si="286"/>
        <v>46477</v>
      </c>
      <c r="I316" s="26" t="str">
        <f t="shared" si="287"/>
        <v>Não</v>
      </c>
      <c r="J316" s="26">
        <f t="shared" si="288"/>
        <v>46477</v>
      </c>
      <c r="K316" s="26" t="str">
        <f t="shared" si="287"/>
        <v>Não</v>
      </c>
      <c r="L316" s="26">
        <f t="shared" si="289"/>
        <v>46477</v>
      </c>
      <c r="M316" s="26" t="str">
        <f t="shared" ref="M316" si="348">IF(ISNA(VLOOKUP(L316,$A:$A,1,0)),"Não","Sim")</f>
        <v>Não</v>
      </c>
      <c r="N316" s="26">
        <f t="shared" si="291"/>
        <v>46477</v>
      </c>
    </row>
    <row r="317" spans="1:14" x14ac:dyDescent="0.25">
      <c r="A317" s="39">
        <v>46472</v>
      </c>
      <c r="B317" t="s">
        <v>100</v>
      </c>
      <c r="C317" t="s">
        <v>101</v>
      </c>
      <c r="E317" s="26">
        <v>46478</v>
      </c>
      <c r="F317" s="26">
        <f t="shared" si="284"/>
        <v>46507</v>
      </c>
      <c r="G317" s="19">
        <f t="shared" si="285"/>
        <v>5</v>
      </c>
      <c r="H317" s="26">
        <f t="shared" si="286"/>
        <v>46507</v>
      </c>
      <c r="I317" s="26" t="str">
        <f t="shared" si="287"/>
        <v>Não</v>
      </c>
      <c r="J317" s="26">
        <f t="shared" si="288"/>
        <v>46507</v>
      </c>
      <c r="K317" s="26" t="str">
        <f t="shared" si="287"/>
        <v>Não</v>
      </c>
      <c r="L317" s="26">
        <f t="shared" si="289"/>
        <v>46507</v>
      </c>
      <c r="M317" s="26" t="str">
        <f t="shared" ref="M317" si="349">IF(ISNA(VLOOKUP(L317,$A:$A,1,0)),"Não","Sim")</f>
        <v>Não</v>
      </c>
      <c r="N317" s="26">
        <f t="shared" si="291"/>
        <v>46507</v>
      </c>
    </row>
    <row r="318" spans="1:14" x14ac:dyDescent="0.25">
      <c r="A318" s="39">
        <v>46498</v>
      </c>
      <c r="B318" t="s">
        <v>113</v>
      </c>
      <c r="C318" t="s">
        <v>103</v>
      </c>
      <c r="E318" s="26">
        <v>46508</v>
      </c>
      <c r="F318" s="26">
        <f t="shared" si="284"/>
        <v>46538</v>
      </c>
      <c r="G318" s="19">
        <f t="shared" si="285"/>
        <v>1</v>
      </c>
      <c r="H318" s="26">
        <f t="shared" si="286"/>
        <v>46538</v>
      </c>
      <c r="I318" s="26" t="str">
        <f t="shared" si="287"/>
        <v>Não</v>
      </c>
      <c r="J318" s="26">
        <f t="shared" si="288"/>
        <v>46538</v>
      </c>
      <c r="K318" s="26" t="str">
        <f t="shared" si="287"/>
        <v>Não</v>
      </c>
      <c r="L318" s="26">
        <f t="shared" si="289"/>
        <v>46538</v>
      </c>
      <c r="M318" s="26" t="str">
        <f t="shared" ref="M318" si="350">IF(ISNA(VLOOKUP(L318,$A:$A,1,0)),"Não","Sim")</f>
        <v>Não</v>
      </c>
      <c r="N318" s="26">
        <f t="shared" si="291"/>
        <v>46538</v>
      </c>
    </row>
    <row r="319" spans="1:14" x14ac:dyDescent="0.25">
      <c r="A319" s="39">
        <v>46508</v>
      </c>
      <c r="B319" t="s">
        <v>102</v>
      </c>
      <c r="C319" t="s">
        <v>104</v>
      </c>
      <c r="E319" s="26">
        <v>46539</v>
      </c>
      <c r="F319" s="26">
        <f t="shared" si="284"/>
        <v>46568</v>
      </c>
      <c r="G319" s="19">
        <f t="shared" si="285"/>
        <v>3</v>
      </c>
      <c r="H319" s="26">
        <f t="shared" si="286"/>
        <v>46568</v>
      </c>
      <c r="I319" s="26" t="str">
        <f t="shared" si="287"/>
        <v>Não</v>
      </c>
      <c r="J319" s="26">
        <f t="shared" si="288"/>
        <v>46568</v>
      </c>
      <c r="K319" s="26" t="str">
        <f t="shared" si="287"/>
        <v>Não</v>
      </c>
      <c r="L319" s="26">
        <f t="shared" si="289"/>
        <v>46568</v>
      </c>
      <c r="M319" s="26" t="str">
        <f t="shared" ref="M319" si="351">IF(ISNA(VLOOKUP(L319,$A:$A,1,0)),"Não","Sim")</f>
        <v>Não</v>
      </c>
      <c r="N319" s="26">
        <f t="shared" si="291"/>
        <v>46568</v>
      </c>
    </row>
    <row r="320" spans="1:14" x14ac:dyDescent="0.25">
      <c r="A320" s="39">
        <v>46534</v>
      </c>
      <c r="B320" t="s">
        <v>105</v>
      </c>
      <c r="C320" t="s">
        <v>106</v>
      </c>
      <c r="E320" s="26">
        <v>46569</v>
      </c>
      <c r="F320" s="26">
        <f t="shared" si="284"/>
        <v>46599</v>
      </c>
      <c r="G320" s="19">
        <f t="shared" si="285"/>
        <v>6</v>
      </c>
      <c r="H320" s="26">
        <f t="shared" si="286"/>
        <v>46598</v>
      </c>
      <c r="I320" s="26" t="str">
        <f t="shared" si="287"/>
        <v>Não</v>
      </c>
      <c r="J320" s="26">
        <f t="shared" si="288"/>
        <v>46598</v>
      </c>
      <c r="K320" s="26" t="str">
        <f t="shared" si="287"/>
        <v>Não</v>
      </c>
      <c r="L320" s="26">
        <f t="shared" si="289"/>
        <v>46598</v>
      </c>
      <c r="M320" s="26" t="str">
        <f t="shared" ref="M320" si="352">IF(ISNA(VLOOKUP(L320,$A:$A,1,0)),"Não","Sim")</f>
        <v>Não</v>
      </c>
      <c r="N320" s="26">
        <f t="shared" si="291"/>
        <v>46598</v>
      </c>
    </row>
    <row r="321" spans="1:14" x14ac:dyDescent="0.25">
      <c r="A321" s="39">
        <v>46637</v>
      </c>
      <c r="B321" t="s">
        <v>99</v>
      </c>
      <c r="C321" t="s">
        <v>107</v>
      </c>
      <c r="E321" s="26">
        <v>46600</v>
      </c>
      <c r="F321" s="26">
        <f t="shared" si="284"/>
        <v>46630</v>
      </c>
      <c r="G321" s="19">
        <f t="shared" si="285"/>
        <v>2</v>
      </c>
      <c r="H321" s="26">
        <f t="shared" si="286"/>
        <v>46630</v>
      </c>
      <c r="I321" s="26" t="str">
        <f t="shared" si="287"/>
        <v>Não</v>
      </c>
      <c r="J321" s="26">
        <f t="shared" si="288"/>
        <v>46630</v>
      </c>
      <c r="K321" s="26" t="str">
        <f t="shared" si="287"/>
        <v>Não</v>
      </c>
      <c r="L321" s="26">
        <f t="shared" si="289"/>
        <v>46630</v>
      </c>
      <c r="M321" s="26" t="str">
        <f t="shared" ref="M321" si="353">IF(ISNA(VLOOKUP(L321,$A:$A,1,0)),"Não","Sim")</f>
        <v>Não</v>
      </c>
      <c r="N321" s="26">
        <f t="shared" si="291"/>
        <v>46630</v>
      </c>
    </row>
    <row r="322" spans="1:14" x14ac:dyDescent="0.25">
      <c r="A322" s="39">
        <v>46672</v>
      </c>
      <c r="B322" t="s">
        <v>99</v>
      </c>
      <c r="C322" t="s">
        <v>108</v>
      </c>
      <c r="E322" s="26">
        <v>46631</v>
      </c>
      <c r="F322" s="26">
        <f t="shared" si="284"/>
        <v>46660</v>
      </c>
      <c r="G322" s="19">
        <f t="shared" si="285"/>
        <v>4</v>
      </c>
      <c r="H322" s="26">
        <f t="shared" si="286"/>
        <v>46660</v>
      </c>
      <c r="I322" s="26" t="str">
        <f t="shared" si="287"/>
        <v>Não</v>
      </c>
      <c r="J322" s="26">
        <f t="shared" si="288"/>
        <v>46660</v>
      </c>
      <c r="K322" s="26" t="str">
        <f t="shared" si="287"/>
        <v>Não</v>
      </c>
      <c r="L322" s="26">
        <f t="shared" si="289"/>
        <v>46660</v>
      </c>
      <c r="M322" s="26" t="str">
        <f t="shared" ref="M322" si="354">IF(ISNA(VLOOKUP(L322,$A:$A,1,0)),"Não","Sim")</f>
        <v>Não</v>
      </c>
      <c r="N322" s="26">
        <f t="shared" si="291"/>
        <v>46660</v>
      </c>
    </row>
    <row r="323" spans="1:14" x14ac:dyDescent="0.25">
      <c r="A323" s="39">
        <v>46693</v>
      </c>
      <c r="B323" t="s">
        <v>99</v>
      </c>
      <c r="C323" t="s">
        <v>109</v>
      </c>
      <c r="E323" s="26">
        <v>46661</v>
      </c>
      <c r="F323" s="26">
        <f t="shared" ref="F323:F386" si="355">EOMONTH(E323,0)</f>
        <v>46691</v>
      </c>
      <c r="G323" s="19">
        <f t="shared" ref="G323:G386" si="356">WEEKDAY(F323,2)</f>
        <v>7</v>
      </c>
      <c r="H323" s="26">
        <f t="shared" ref="H323:H386" si="357">IF(G323=6,F323-1,IF(G323=7,F323-2,F323))</f>
        <v>46689</v>
      </c>
      <c r="I323" s="26" t="str">
        <f t="shared" ref="I323:K386" si="358">IF(ISNA(VLOOKUP(H323,$A:$A,1,0)),"Não","Sim")</f>
        <v>Não</v>
      </c>
      <c r="J323" s="26">
        <f t="shared" ref="J323:J386" si="359">IF(I323="Não",H323,H323-1)</f>
        <v>46689</v>
      </c>
      <c r="K323" s="26" t="str">
        <f t="shared" si="358"/>
        <v>Não</v>
      </c>
      <c r="L323" s="26">
        <f t="shared" ref="L323:L386" si="360">IF(K323="Não",J323,J323-1)</f>
        <v>46689</v>
      </c>
      <c r="M323" s="26" t="str">
        <f t="shared" ref="M323" si="361">IF(ISNA(VLOOKUP(L323,$A:$A,1,0)),"Não","Sim")</f>
        <v>Não</v>
      </c>
      <c r="N323" s="26">
        <f t="shared" ref="N323:N386" si="362">IF(M323="Não",L323,L323-1)</f>
        <v>46689</v>
      </c>
    </row>
    <row r="324" spans="1:14" x14ac:dyDescent="0.25">
      <c r="A324" s="39">
        <v>46706</v>
      </c>
      <c r="B324" t="s">
        <v>96</v>
      </c>
      <c r="C324" t="s">
        <v>110</v>
      </c>
      <c r="E324" s="26">
        <v>46692</v>
      </c>
      <c r="F324" s="26">
        <f t="shared" si="355"/>
        <v>46721</v>
      </c>
      <c r="G324" s="19">
        <f t="shared" si="356"/>
        <v>2</v>
      </c>
      <c r="H324" s="26">
        <f t="shared" si="357"/>
        <v>46721</v>
      </c>
      <c r="I324" s="26" t="str">
        <f t="shared" si="358"/>
        <v>Não</v>
      </c>
      <c r="J324" s="26">
        <f t="shared" si="359"/>
        <v>46721</v>
      </c>
      <c r="K324" s="26" t="str">
        <f t="shared" si="358"/>
        <v>Não</v>
      </c>
      <c r="L324" s="26">
        <f t="shared" si="360"/>
        <v>46721</v>
      </c>
      <c r="M324" s="26" t="str">
        <f t="shared" ref="M324" si="363">IF(ISNA(VLOOKUP(L324,$A:$A,1,0)),"Não","Sim")</f>
        <v>Não</v>
      </c>
      <c r="N324" s="26">
        <f t="shared" si="362"/>
        <v>46721</v>
      </c>
    </row>
    <row r="325" spans="1:14" x14ac:dyDescent="0.25">
      <c r="A325" s="39">
        <v>46746</v>
      </c>
      <c r="B325" t="s">
        <v>102</v>
      </c>
      <c r="C325" t="s">
        <v>111</v>
      </c>
      <c r="E325" s="26">
        <v>46722</v>
      </c>
      <c r="F325" s="26">
        <f t="shared" si="355"/>
        <v>46752</v>
      </c>
      <c r="G325" s="19">
        <f t="shared" si="356"/>
        <v>5</v>
      </c>
      <c r="H325" s="26">
        <f t="shared" si="357"/>
        <v>46752</v>
      </c>
      <c r="I325" s="26" t="str">
        <f t="shared" si="358"/>
        <v>Não</v>
      </c>
      <c r="J325" s="26">
        <f t="shared" si="359"/>
        <v>46752</v>
      </c>
      <c r="K325" s="26" t="str">
        <f t="shared" si="358"/>
        <v>Não</v>
      </c>
      <c r="L325" s="26">
        <f t="shared" si="360"/>
        <v>46752</v>
      </c>
      <c r="M325" s="26" t="str">
        <f t="shared" ref="M325" si="364">IF(ISNA(VLOOKUP(L325,$A:$A,1,0)),"Não","Sim")</f>
        <v>Não</v>
      </c>
      <c r="N325" s="26">
        <f t="shared" si="362"/>
        <v>46752</v>
      </c>
    </row>
    <row r="326" spans="1:14" x14ac:dyDescent="0.25">
      <c r="A326" s="39">
        <v>46753</v>
      </c>
      <c r="B326" t="s">
        <v>102</v>
      </c>
      <c r="C326" t="s">
        <v>97</v>
      </c>
      <c r="E326" s="26">
        <v>46753</v>
      </c>
      <c r="F326" s="26">
        <f t="shared" si="355"/>
        <v>46783</v>
      </c>
      <c r="G326" s="19">
        <f t="shared" si="356"/>
        <v>1</v>
      </c>
      <c r="H326" s="26">
        <f t="shared" si="357"/>
        <v>46783</v>
      </c>
      <c r="I326" s="26" t="str">
        <f t="shared" si="358"/>
        <v>Não</v>
      </c>
      <c r="J326" s="26">
        <f t="shared" si="359"/>
        <v>46783</v>
      </c>
      <c r="K326" s="26" t="str">
        <f t="shared" si="358"/>
        <v>Não</v>
      </c>
      <c r="L326" s="26">
        <f t="shared" si="360"/>
        <v>46783</v>
      </c>
      <c r="M326" s="26" t="str">
        <f t="shared" ref="M326" si="365">IF(ISNA(VLOOKUP(L326,$A:$A,1,0)),"Não","Sim")</f>
        <v>Não</v>
      </c>
      <c r="N326" s="26">
        <f t="shared" si="362"/>
        <v>46783</v>
      </c>
    </row>
    <row r="327" spans="1:14" x14ac:dyDescent="0.25">
      <c r="A327" s="39">
        <v>46811</v>
      </c>
      <c r="B327" t="s">
        <v>96</v>
      </c>
      <c r="C327" t="s">
        <v>98</v>
      </c>
      <c r="E327" s="26">
        <v>46784</v>
      </c>
      <c r="F327" s="26">
        <f t="shared" si="355"/>
        <v>46812</v>
      </c>
      <c r="G327" s="19">
        <f t="shared" si="356"/>
        <v>2</v>
      </c>
      <c r="H327" s="26">
        <f t="shared" si="357"/>
        <v>46812</v>
      </c>
      <c r="I327" s="26" t="str">
        <f t="shared" si="358"/>
        <v>Sim</v>
      </c>
      <c r="J327" s="26">
        <f t="shared" si="359"/>
        <v>46811</v>
      </c>
      <c r="K327" s="26" t="str">
        <f t="shared" si="358"/>
        <v>Sim</v>
      </c>
      <c r="L327" s="26">
        <f t="shared" si="360"/>
        <v>46810</v>
      </c>
      <c r="M327" s="26" t="str">
        <f t="shared" ref="M327" si="366">IF(ISNA(VLOOKUP(L327,$A:$A,1,0)),"Não","Sim")</f>
        <v>Não</v>
      </c>
      <c r="N327" s="26">
        <f t="shared" si="362"/>
        <v>46810</v>
      </c>
    </row>
    <row r="328" spans="1:14" x14ac:dyDescent="0.25">
      <c r="A328" s="39">
        <v>46812</v>
      </c>
      <c r="B328" t="s">
        <v>99</v>
      </c>
      <c r="C328" t="s">
        <v>98</v>
      </c>
      <c r="E328" s="26">
        <v>46813</v>
      </c>
      <c r="F328" s="26">
        <f t="shared" si="355"/>
        <v>46843</v>
      </c>
      <c r="G328" s="19">
        <f t="shared" si="356"/>
        <v>5</v>
      </c>
      <c r="H328" s="26">
        <f t="shared" si="357"/>
        <v>46843</v>
      </c>
      <c r="I328" s="26" t="str">
        <f t="shared" si="358"/>
        <v>Não</v>
      </c>
      <c r="J328" s="26">
        <f t="shared" si="359"/>
        <v>46843</v>
      </c>
      <c r="K328" s="26" t="str">
        <f t="shared" si="358"/>
        <v>Não</v>
      </c>
      <c r="L328" s="26">
        <f t="shared" si="360"/>
        <v>46843</v>
      </c>
      <c r="M328" s="26" t="str">
        <f t="shared" ref="M328" si="367">IF(ISNA(VLOOKUP(L328,$A:$A,1,0)),"Não","Sim")</f>
        <v>Não</v>
      </c>
      <c r="N328" s="26">
        <f t="shared" si="362"/>
        <v>46843</v>
      </c>
    </row>
    <row r="329" spans="1:14" x14ac:dyDescent="0.25">
      <c r="A329" s="39">
        <v>46857</v>
      </c>
      <c r="B329" t="s">
        <v>100</v>
      </c>
      <c r="C329" t="s">
        <v>101</v>
      </c>
      <c r="E329" s="26">
        <v>46844</v>
      </c>
      <c r="F329" s="26">
        <f t="shared" si="355"/>
        <v>46873</v>
      </c>
      <c r="G329" s="19">
        <f t="shared" si="356"/>
        <v>7</v>
      </c>
      <c r="H329" s="26">
        <f t="shared" si="357"/>
        <v>46871</v>
      </c>
      <c r="I329" s="26" t="str">
        <f t="shared" si="358"/>
        <v>Não</v>
      </c>
      <c r="J329" s="26">
        <f t="shared" si="359"/>
        <v>46871</v>
      </c>
      <c r="K329" s="26" t="str">
        <f t="shared" si="358"/>
        <v>Não</v>
      </c>
      <c r="L329" s="26">
        <f t="shared" si="360"/>
        <v>46871</v>
      </c>
      <c r="M329" s="26" t="str">
        <f t="shared" ref="M329" si="368">IF(ISNA(VLOOKUP(L329,$A:$A,1,0)),"Não","Sim")</f>
        <v>Não</v>
      </c>
      <c r="N329" s="26">
        <f t="shared" si="362"/>
        <v>46871</v>
      </c>
    </row>
    <row r="330" spans="1:14" x14ac:dyDescent="0.25">
      <c r="A330" s="39">
        <v>46864</v>
      </c>
      <c r="B330" t="s">
        <v>100</v>
      </c>
      <c r="C330" t="s">
        <v>103</v>
      </c>
      <c r="E330" s="26">
        <v>46874</v>
      </c>
      <c r="F330" s="26">
        <f t="shared" si="355"/>
        <v>46904</v>
      </c>
      <c r="G330" s="19">
        <f t="shared" si="356"/>
        <v>3</v>
      </c>
      <c r="H330" s="26">
        <f t="shared" si="357"/>
        <v>46904</v>
      </c>
      <c r="I330" s="26" t="str">
        <f t="shared" si="358"/>
        <v>Não</v>
      </c>
      <c r="J330" s="26">
        <f t="shared" si="359"/>
        <v>46904</v>
      </c>
      <c r="K330" s="26" t="str">
        <f t="shared" si="358"/>
        <v>Não</v>
      </c>
      <c r="L330" s="26">
        <f t="shared" si="360"/>
        <v>46904</v>
      </c>
      <c r="M330" s="26" t="str">
        <f t="shared" ref="M330" si="369">IF(ISNA(VLOOKUP(L330,$A:$A,1,0)),"Não","Sim")</f>
        <v>Não</v>
      </c>
      <c r="N330" s="26">
        <f t="shared" si="362"/>
        <v>46904</v>
      </c>
    </row>
    <row r="331" spans="1:14" x14ac:dyDescent="0.25">
      <c r="A331" s="39">
        <v>46874</v>
      </c>
      <c r="B331" t="s">
        <v>96</v>
      </c>
      <c r="C331" t="s">
        <v>104</v>
      </c>
      <c r="E331" s="26">
        <v>46905</v>
      </c>
      <c r="F331" s="26">
        <f t="shared" si="355"/>
        <v>46934</v>
      </c>
      <c r="G331" s="19">
        <f t="shared" si="356"/>
        <v>5</v>
      </c>
      <c r="H331" s="26">
        <f t="shared" si="357"/>
        <v>46934</v>
      </c>
      <c r="I331" s="26" t="str">
        <f t="shared" si="358"/>
        <v>Não</v>
      </c>
      <c r="J331" s="26">
        <f t="shared" si="359"/>
        <v>46934</v>
      </c>
      <c r="K331" s="26" t="str">
        <f t="shared" si="358"/>
        <v>Não</v>
      </c>
      <c r="L331" s="26">
        <f t="shared" si="360"/>
        <v>46934</v>
      </c>
      <c r="M331" s="26" t="str">
        <f t="shared" ref="M331" si="370">IF(ISNA(VLOOKUP(L331,$A:$A,1,0)),"Não","Sim")</f>
        <v>Não</v>
      </c>
      <c r="N331" s="26">
        <f t="shared" si="362"/>
        <v>46934</v>
      </c>
    </row>
    <row r="332" spans="1:14" x14ac:dyDescent="0.25">
      <c r="A332" s="39">
        <v>46919</v>
      </c>
      <c r="B332" t="s">
        <v>105</v>
      </c>
      <c r="C332" t="s">
        <v>106</v>
      </c>
      <c r="E332" s="26">
        <v>46935</v>
      </c>
      <c r="F332" s="26">
        <f t="shared" si="355"/>
        <v>46965</v>
      </c>
      <c r="G332" s="19">
        <f t="shared" si="356"/>
        <v>1</v>
      </c>
      <c r="H332" s="26">
        <f t="shared" si="357"/>
        <v>46965</v>
      </c>
      <c r="I332" s="26" t="str">
        <f t="shared" si="358"/>
        <v>Não</v>
      </c>
      <c r="J332" s="26">
        <f t="shared" si="359"/>
        <v>46965</v>
      </c>
      <c r="K332" s="26" t="str">
        <f t="shared" si="358"/>
        <v>Não</v>
      </c>
      <c r="L332" s="26">
        <f t="shared" si="360"/>
        <v>46965</v>
      </c>
      <c r="M332" s="26" t="str">
        <f t="shared" ref="M332" si="371">IF(ISNA(VLOOKUP(L332,$A:$A,1,0)),"Não","Sim")</f>
        <v>Não</v>
      </c>
      <c r="N332" s="26">
        <f t="shared" si="362"/>
        <v>46965</v>
      </c>
    </row>
    <row r="333" spans="1:14" x14ac:dyDescent="0.25">
      <c r="A333" s="39">
        <v>47003</v>
      </c>
      <c r="B333" t="s">
        <v>105</v>
      </c>
      <c r="C333" t="s">
        <v>107</v>
      </c>
      <c r="E333" s="26">
        <v>46966</v>
      </c>
      <c r="F333" s="26">
        <f t="shared" si="355"/>
        <v>46996</v>
      </c>
      <c r="G333" s="19">
        <f t="shared" si="356"/>
        <v>4</v>
      </c>
      <c r="H333" s="26">
        <f t="shared" si="357"/>
        <v>46996</v>
      </c>
      <c r="I333" s="26" t="str">
        <f t="shared" si="358"/>
        <v>Não</v>
      </c>
      <c r="J333" s="26">
        <f t="shared" si="359"/>
        <v>46996</v>
      </c>
      <c r="K333" s="26" t="str">
        <f t="shared" si="358"/>
        <v>Não</v>
      </c>
      <c r="L333" s="26">
        <f t="shared" si="360"/>
        <v>46996</v>
      </c>
      <c r="M333" s="26" t="str">
        <f t="shared" ref="M333" si="372">IF(ISNA(VLOOKUP(L333,$A:$A,1,0)),"Não","Sim")</f>
        <v>Não</v>
      </c>
      <c r="N333" s="26">
        <f t="shared" si="362"/>
        <v>46996</v>
      </c>
    </row>
    <row r="334" spans="1:14" x14ac:dyDescent="0.25">
      <c r="A334" s="39">
        <v>47038</v>
      </c>
      <c r="B334" t="s">
        <v>105</v>
      </c>
      <c r="C334" t="s">
        <v>108</v>
      </c>
      <c r="E334" s="26">
        <v>46997</v>
      </c>
      <c r="F334" s="26">
        <f t="shared" si="355"/>
        <v>47026</v>
      </c>
      <c r="G334" s="19">
        <f t="shared" si="356"/>
        <v>6</v>
      </c>
      <c r="H334" s="26">
        <f t="shared" si="357"/>
        <v>47025</v>
      </c>
      <c r="I334" s="26" t="str">
        <f t="shared" si="358"/>
        <v>Não</v>
      </c>
      <c r="J334" s="26">
        <f t="shared" si="359"/>
        <v>47025</v>
      </c>
      <c r="K334" s="26" t="str">
        <f t="shared" si="358"/>
        <v>Não</v>
      </c>
      <c r="L334" s="26">
        <f t="shared" si="360"/>
        <v>47025</v>
      </c>
      <c r="M334" s="26" t="str">
        <f t="shared" ref="M334" si="373">IF(ISNA(VLOOKUP(L334,$A:$A,1,0)),"Não","Sim")</f>
        <v>Não</v>
      </c>
      <c r="N334" s="26">
        <f t="shared" si="362"/>
        <v>47025</v>
      </c>
    </row>
    <row r="335" spans="1:14" x14ac:dyDescent="0.25">
      <c r="A335" s="39">
        <v>47059</v>
      </c>
      <c r="B335" t="s">
        <v>105</v>
      </c>
      <c r="C335" t="s">
        <v>109</v>
      </c>
      <c r="E335" s="26">
        <v>47027</v>
      </c>
      <c r="F335" s="26">
        <f t="shared" si="355"/>
        <v>47057</v>
      </c>
      <c r="G335" s="19">
        <f t="shared" si="356"/>
        <v>2</v>
      </c>
      <c r="H335" s="26">
        <f t="shared" si="357"/>
        <v>47057</v>
      </c>
      <c r="I335" s="26" t="str">
        <f t="shared" si="358"/>
        <v>Não</v>
      </c>
      <c r="J335" s="26">
        <f t="shared" si="359"/>
        <v>47057</v>
      </c>
      <c r="K335" s="26" t="str">
        <f t="shared" si="358"/>
        <v>Não</v>
      </c>
      <c r="L335" s="26">
        <f t="shared" si="360"/>
        <v>47057</v>
      </c>
      <c r="M335" s="26" t="str">
        <f t="shared" ref="M335" si="374">IF(ISNA(VLOOKUP(L335,$A:$A,1,0)),"Não","Sim")</f>
        <v>Não</v>
      </c>
      <c r="N335" s="26">
        <f t="shared" si="362"/>
        <v>47057</v>
      </c>
    </row>
    <row r="336" spans="1:14" x14ac:dyDescent="0.25">
      <c r="A336" s="39">
        <v>47072</v>
      </c>
      <c r="B336" t="s">
        <v>113</v>
      </c>
      <c r="C336" t="s">
        <v>110</v>
      </c>
      <c r="E336" s="26">
        <v>47058</v>
      </c>
      <c r="F336" s="26">
        <f t="shared" si="355"/>
        <v>47087</v>
      </c>
      <c r="G336" s="19">
        <f t="shared" si="356"/>
        <v>4</v>
      </c>
      <c r="H336" s="26">
        <f t="shared" si="357"/>
        <v>47087</v>
      </c>
      <c r="I336" s="26" t="str">
        <f t="shared" si="358"/>
        <v>Não</v>
      </c>
      <c r="J336" s="26">
        <f t="shared" si="359"/>
        <v>47087</v>
      </c>
      <c r="K336" s="26" t="str">
        <f t="shared" si="358"/>
        <v>Não</v>
      </c>
      <c r="L336" s="26">
        <f t="shared" si="360"/>
        <v>47087</v>
      </c>
      <c r="M336" s="26" t="str">
        <f t="shared" ref="M336" si="375">IF(ISNA(VLOOKUP(L336,$A:$A,1,0)),"Não","Sim")</f>
        <v>Não</v>
      </c>
      <c r="N336" s="26">
        <f t="shared" si="362"/>
        <v>47087</v>
      </c>
    </row>
    <row r="337" spans="1:14" x14ac:dyDescent="0.25">
      <c r="A337" s="39">
        <v>47112</v>
      </c>
      <c r="B337" t="s">
        <v>96</v>
      </c>
      <c r="C337" t="s">
        <v>111</v>
      </c>
      <c r="E337" s="26">
        <v>47088</v>
      </c>
      <c r="F337" s="26">
        <f t="shared" si="355"/>
        <v>47118</v>
      </c>
      <c r="G337" s="19">
        <f t="shared" si="356"/>
        <v>7</v>
      </c>
      <c r="H337" s="26">
        <f t="shared" si="357"/>
        <v>47116</v>
      </c>
      <c r="I337" s="26" t="str">
        <f t="shared" si="358"/>
        <v>Não</v>
      </c>
      <c r="J337" s="26">
        <f t="shared" si="359"/>
        <v>47116</v>
      </c>
      <c r="K337" s="26" t="str">
        <f t="shared" si="358"/>
        <v>Não</v>
      </c>
      <c r="L337" s="26">
        <f t="shared" si="360"/>
        <v>47116</v>
      </c>
      <c r="M337" s="26" t="str">
        <f t="shared" ref="M337" si="376">IF(ISNA(VLOOKUP(L337,$A:$A,1,0)),"Não","Sim")</f>
        <v>Não</v>
      </c>
      <c r="N337" s="26">
        <f t="shared" si="362"/>
        <v>47116</v>
      </c>
    </row>
    <row r="338" spans="1:14" x14ac:dyDescent="0.25">
      <c r="A338" s="39">
        <v>47119</v>
      </c>
      <c r="B338" t="s">
        <v>96</v>
      </c>
      <c r="C338" t="s">
        <v>97</v>
      </c>
      <c r="E338" s="26">
        <v>47119</v>
      </c>
      <c r="F338" s="26">
        <f t="shared" si="355"/>
        <v>47149</v>
      </c>
      <c r="G338" s="19">
        <f t="shared" si="356"/>
        <v>3</v>
      </c>
      <c r="H338" s="26">
        <f t="shared" si="357"/>
        <v>47149</v>
      </c>
      <c r="I338" s="26" t="str">
        <f t="shared" si="358"/>
        <v>Não</v>
      </c>
      <c r="J338" s="26">
        <f t="shared" si="359"/>
        <v>47149</v>
      </c>
      <c r="K338" s="26" t="str">
        <f t="shared" si="358"/>
        <v>Não</v>
      </c>
      <c r="L338" s="26">
        <f t="shared" si="360"/>
        <v>47149</v>
      </c>
      <c r="M338" s="26" t="str">
        <f t="shared" ref="M338" si="377">IF(ISNA(VLOOKUP(L338,$A:$A,1,0)),"Não","Sim")</f>
        <v>Não</v>
      </c>
      <c r="N338" s="26">
        <f t="shared" si="362"/>
        <v>47149</v>
      </c>
    </row>
    <row r="339" spans="1:14" x14ac:dyDescent="0.25">
      <c r="A339" s="39">
        <v>47161</v>
      </c>
      <c r="B339" t="s">
        <v>96</v>
      </c>
      <c r="C339" t="s">
        <v>98</v>
      </c>
      <c r="E339" s="26">
        <v>47150</v>
      </c>
      <c r="F339" s="26">
        <f t="shared" si="355"/>
        <v>47177</v>
      </c>
      <c r="G339" s="19">
        <f t="shared" si="356"/>
        <v>3</v>
      </c>
      <c r="H339" s="26">
        <f t="shared" si="357"/>
        <v>47177</v>
      </c>
      <c r="I339" s="26" t="str">
        <f t="shared" si="358"/>
        <v>Não</v>
      </c>
      <c r="J339" s="26">
        <f t="shared" si="359"/>
        <v>47177</v>
      </c>
      <c r="K339" s="26" t="str">
        <f t="shared" si="358"/>
        <v>Não</v>
      </c>
      <c r="L339" s="26">
        <f t="shared" si="360"/>
        <v>47177</v>
      </c>
      <c r="M339" s="26" t="str">
        <f t="shared" ref="M339" si="378">IF(ISNA(VLOOKUP(L339,$A:$A,1,0)),"Não","Sim")</f>
        <v>Não</v>
      </c>
      <c r="N339" s="26">
        <f t="shared" si="362"/>
        <v>47177</v>
      </c>
    </row>
    <row r="340" spans="1:14" x14ac:dyDescent="0.25">
      <c r="A340" s="39">
        <v>47162</v>
      </c>
      <c r="B340" t="s">
        <v>99</v>
      </c>
      <c r="C340" t="s">
        <v>98</v>
      </c>
      <c r="E340" s="26">
        <v>47178</v>
      </c>
      <c r="F340" s="26">
        <f t="shared" si="355"/>
        <v>47208</v>
      </c>
      <c r="G340" s="19">
        <f t="shared" si="356"/>
        <v>6</v>
      </c>
      <c r="H340" s="26">
        <f t="shared" si="357"/>
        <v>47207</v>
      </c>
      <c r="I340" s="26" t="str">
        <f t="shared" si="358"/>
        <v>Sim</v>
      </c>
      <c r="J340" s="26">
        <f t="shared" si="359"/>
        <v>47206</v>
      </c>
      <c r="K340" s="26" t="str">
        <f t="shared" si="358"/>
        <v>Não</v>
      </c>
      <c r="L340" s="26">
        <f t="shared" si="360"/>
        <v>47206</v>
      </c>
      <c r="M340" s="26" t="str">
        <f t="shared" ref="M340" si="379">IF(ISNA(VLOOKUP(L340,$A:$A,1,0)),"Não","Sim")</f>
        <v>Não</v>
      </c>
      <c r="N340" s="26">
        <f t="shared" si="362"/>
        <v>47206</v>
      </c>
    </row>
    <row r="341" spans="1:14" x14ac:dyDescent="0.25">
      <c r="A341" s="39">
        <v>47207</v>
      </c>
      <c r="B341" t="s">
        <v>100</v>
      </c>
      <c r="C341" t="s">
        <v>101</v>
      </c>
      <c r="E341" s="26">
        <v>47209</v>
      </c>
      <c r="F341" s="26">
        <f t="shared" si="355"/>
        <v>47238</v>
      </c>
      <c r="G341" s="19">
        <f t="shared" si="356"/>
        <v>1</v>
      </c>
      <c r="H341" s="26">
        <f t="shared" si="357"/>
        <v>47238</v>
      </c>
      <c r="I341" s="26" t="str">
        <f t="shared" si="358"/>
        <v>Não</v>
      </c>
      <c r="J341" s="26">
        <f t="shared" si="359"/>
        <v>47238</v>
      </c>
      <c r="K341" s="26" t="str">
        <f t="shared" si="358"/>
        <v>Não</v>
      </c>
      <c r="L341" s="26">
        <f t="shared" si="360"/>
        <v>47238</v>
      </c>
      <c r="M341" s="26" t="str">
        <f t="shared" ref="M341" si="380">IF(ISNA(VLOOKUP(L341,$A:$A,1,0)),"Não","Sim")</f>
        <v>Não</v>
      </c>
      <c r="N341" s="26">
        <f t="shared" si="362"/>
        <v>47238</v>
      </c>
    </row>
    <row r="342" spans="1:14" x14ac:dyDescent="0.25">
      <c r="A342" s="39">
        <v>47229</v>
      </c>
      <c r="B342" t="s">
        <v>102</v>
      </c>
      <c r="C342" t="s">
        <v>103</v>
      </c>
      <c r="E342" s="26">
        <v>47239</v>
      </c>
      <c r="F342" s="26">
        <f t="shared" si="355"/>
        <v>47269</v>
      </c>
      <c r="G342" s="19">
        <f t="shared" si="356"/>
        <v>4</v>
      </c>
      <c r="H342" s="26">
        <f t="shared" si="357"/>
        <v>47269</v>
      </c>
      <c r="I342" s="26" t="str">
        <f t="shared" si="358"/>
        <v>Sim</v>
      </c>
      <c r="J342" s="26">
        <f t="shared" si="359"/>
        <v>47268</v>
      </c>
      <c r="K342" s="26" t="str">
        <f t="shared" si="358"/>
        <v>Não</v>
      </c>
      <c r="L342" s="26">
        <f t="shared" si="360"/>
        <v>47268</v>
      </c>
      <c r="M342" s="26" t="str">
        <f t="shared" ref="M342" si="381">IF(ISNA(VLOOKUP(L342,$A:$A,1,0)),"Não","Sim")</f>
        <v>Não</v>
      </c>
      <c r="N342" s="26">
        <f t="shared" si="362"/>
        <v>47268</v>
      </c>
    </row>
    <row r="343" spans="1:14" x14ac:dyDescent="0.25">
      <c r="A343" s="39">
        <v>47239</v>
      </c>
      <c r="B343" t="s">
        <v>99</v>
      </c>
      <c r="C343" t="s">
        <v>104</v>
      </c>
      <c r="E343" s="26">
        <v>47270</v>
      </c>
      <c r="F343" s="26">
        <f t="shared" si="355"/>
        <v>47299</v>
      </c>
      <c r="G343" s="19">
        <f t="shared" si="356"/>
        <v>6</v>
      </c>
      <c r="H343" s="26">
        <f t="shared" si="357"/>
        <v>47298</v>
      </c>
      <c r="I343" s="26" t="str">
        <f t="shared" si="358"/>
        <v>Não</v>
      </c>
      <c r="J343" s="26">
        <f t="shared" si="359"/>
        <v>47298</v>
      </c>
      <c r="K343" s="26" t="str">
        <f t="shared" si="358"/>
        <v>Não</v>
      </c>
      <c r="L343" s="26">
        <f t="shared" si="360"/>
        <v>47298</v>
      </c>
      <c r="M343" s="26" t="str">
        <f t="shared" ref="M343" si="382">IF(ISNA(VLOOKUP(L343,$A:$A,1,0)),"Não","Sim")</f>
        <v>Não</v>
      </c>
      <c r="N343" s="26">
        <f t="shared" si="362"/>
        <v>47298</v>
      </c>
    </row>
    <row r="344" spans="1:14" x14ac:dyDescent="0.25">
      <c r="A344" s="39">
        <v>47269</v>
      </c>
      <c r="B344" t="s">
        <v>105</v>
      </c>
      <c r="C344" t="s">
        <v>106</v>
      </c>
      <c r="E344" s="26">
        <v>47300</v>
      </c>
      <c r="F344" s="26">
        <f t="shared" si="355"/>
        <v>47330</v>
      </c>
      <c r="G344" s="19">
        <f t="shared" si="356"/>
        <v>2</v>
      </c>
      <c r="H344" s="26">
        <f t="shared" si="357"/>
        <v>47330</v>
      </c>
      <c r="I344" s="26" t="str">
        <f t="shared" si="358"/>
        <v>Não</v>
      </c>
      <c r="J344" s="26">
        <f t="shared" si="359"/>
        <v>47330</v>
      </c>
      <c r="K344" s="26" t="str">
        <f t="shared" si="358"/>
        <v>Não</v>
      </c>
      <c r="L344" s="26">
        <f t="shared" si="360"/>
        <v>47330</v>
      </c>
      <c r="M344" s="26" t="str">
        <f t="shared" ref="M344" si="383">IF(ISNA(VLOOKUP(L344,$A:$A,1,0)),"Não","Sim")</f>
        <v>Não</v>
      </c>
      <c r="N344" s="26">
        <f t="shared" si="362"/>
        <v>47330</v>
      </c>
    </row>
    <row r="345" spans="1:14" x14ac:dyDescent="0.25">
      <c r="A345" s="39">
        <v>47368</v>
      </c>
      <c r="B345" t="s">
        <v>100</v>
      </c>
      <c r="C345" t="s">
        <v>107</v>
      </c>
      <c r="E345" s="26">
        <v>47331</v>
      </c>
      <c r="F345" s="26">
        <f t="shared" si="355"/>
        <v>47361</v>
      </c>
      <c r="G345" s="19">
        <f t="shared" si="356"/>
        <v>5</v>
      </c>
      <c r="H345" s="26">
        <f t="shared" si="357"/>
        <v>47361</v>
      </c>
      <c r="I345" s="26" t="str">
        <f t="shared" si="358"/>
        <v>Não</v>
      </c>
      <c r="J345" s="26">
        <f t="shared" si="359"/>
        <v>47361</v>
      </c>
      <c r="K345" s="26" t="str">
        <f t="shared" si="358"/>
        <v>Não</v>
      </c>
      <c r="L345" s="26">
        <f t="shared" si="360"/>
        <v>47361</v>
      </c>
      <c r="M345" s="26" t="str">
        <f t="shared" ref="M345" si="384">IF(ISNA(VLOOKUP(L345,$A:$A,1,0)),"Não","Sim")</f>
        <v>Não</v>
      </c>
      <c r="N345" s="26">
        <f t="shared" si="362"/>
        <v>47361</v>
      </c>
    </row>
    <row r="346" spans="1:14" x14ac:dyDescent="0.25">
      <c r="A346" s="39">
        <v>47403</v>
      </c>
      <c r="B346" t="s">
        <v>100</v>
      </c>
      <c r="C346" t="s">
        <v>108</v>
      </c>
      <c r="E346" s="26">
        <v>47362</v>
      </c>
      <c r="F346" s="26">
        <f t="shared" si="355"/>
        <v>47391</v>
      </c>
      <c r="G346" s="19">
        <f t="shared" si="356"/>
        <v>7</v>
      </c>
      <c r="H346" s="26">
        <f t="shared" si="357"/>
        <v>47389</v>
      </c>
      <c r="I346" s="26" t="str">
        <f t="shared" si="358"/>
        <v>Não</v>
      </c>
      <c r="J346" s="26">
        <f t="shared" si="359"/>
        <v>47389</v>
      </c>
      <c r="K346" s="26" t="str">
        <f t="shared" si="358"/>
        <v>Não</v>
      </c>
      <c r="L346" s="26">
        <f t="shared" si="360"/>
        <v>47389</v>
      </c>
      <c r="M346" s="26" t="str">
        <f t="shared" ref="M346" si="385">IF(ISNA(VLOOKUP(L346,$A:$A,1,0)),"Não","Sim")</f>
        <v>Não</v>
      </c>
      <c r="N346" s="26">
        <f t="shared" si="362"/>
        <v>47389</v>
      </c>
    </row>
    <row r="347" spans="1:14" x14ac:dyDescent="0.25">
      <c r="A347" s="39">
        <v>47424</v>
      </c>
      <c r="B347" t="s">
        <v>100</v>
      </c>
      <c r="C347" t="s">
        <v>109</v>
      </c>
      <c r="E347" s="26">
        <v>47392</v>
      </c>
      <c r="F347" s="26">
        <f t="shared" si="355"/>
        <v>47422</v>
      </c>
      <c r="G347" s="19">
        <f t="shared" si="356"/>
        <v>3</v>
      </c>
      <c r="H347" s="26">
        <f t="shared" si="357"/>
        <v>47422</v>
      </c>
      <c r="I347" s="26" t="str">
        <f t="shared" si="358"/>
        <v>Não</v>
      </c>
      <c r="J347" s="26">
        <f t="shared" si="359"/>
        <v>47422</v>
      </c>
      <c r="K347" s="26" t="str">
        <f t="shared" si="358"/>
        <v>Não</v>
      </c>
      <c r="L347" s="26">
        <f t="shared" si="360"/>
        <v>47422</v>
      </c>
      <c r="M347" s="26" t="str">
        <f t="shared" ref="M347" si="386">IF(ISNA(VLOOKUP(L347,$A:$A,1,0)),"Não","Sim")</f>
        <v>Não</v>
      </c>
      <c r="N347" s="26">
        <f t="shared" si="362"/>
        <v>47422</v>
      </c>
    </row>
    <row r="348" spans="1:14" x14ac:dyDescent="0.25">
      <c r="A348" s="39">
        <v>47437</v>
      </c>
      <c r="B348" t="s">
        <v>105</v>
      </c>
      <c r="C348" t="s">
        <v>110</v>
      </c>
      <c r="E348" s="26">
        <v>47423</v>
      </c>
      <c r="F348" s="26">
        <f t="shared" si="355"/>
        <v>47452</v>
      </c>
      <c r="G348" s="19">
        <f t="shared" si="356"/>
        <v>5</v>
      </c>
      <c r="H348" s="26">
        <f t="shared" si="357"/>
        <v>47452</v>
      </c>
      <c r="I348" s="26" t="str">
        <f t="shared" si="358"/>
        <v>Não</v>
      </c>
      <c r="J348" s="26">
        <f t="shared" si="359"/>
        <v>47452</v>
      </c>
      <c r="K348" s="26" t="str">
        <f t="shared" si="358"/>
        <v>Não</v>
      </c>
      <c r="L348" s="26">
        <f t="shared" si="360"/>
        <v>47452</v>
      </c>
      <c r="M348" s="26" t="str">
        <f t="shared" ref="M348" si="387">IF(ISNA(VLOOKUP(L348,$A:$A,1,0)),"Não","Sim")</f>
        <v>Não</v>
      </c>
      <c r="N348" s="26">
        <f t="shared" si="362"/>
        <v>47452</v>
      </c>
    </row>
    <row r="349" spans="1:14" x14ac:dyDescent="0.25">
      <c r="A349" s="39">
        <v>47477</v>
      </c>
      <c r="B349" t="s">
        <v>99</v>
      </c>
      <c r="C349" t="s">
        <v>111</v>
      </c>
      <c r="E349" s="26">
        <v>47453</v>
      </c>
      <c r="F349" s="26">
        <f t="shared" si="355"/>
        <v>47483</v>
      </c>
      <c r="G349" s="19">
        <f t="shared" si="356"/>
        <v>1</v>
      </c>
      <c r="H349" s="26">
        <f t="shared" si="357"/>
        <v>47483</v>
      </c>
      <c r="I349" s="26" t="str">
        <f t="shared" si="358"/>
        <v>Não</v>
      </c>
      <c r="J349" s="26">
        <f t="shared" si="359"/>
        <v>47483</v>
      </c>
      <c r="K349" s="26" t="str">
        <f t="shared" si="358"/>
        <v>Não</v>
      </c>
      <c r="L349" s="26">
        <f t="shared" si="360"/>
        <v>47483</v>
      </c>
      <c r="M349" s="26" t="str">
        <f t="shared" ref="M349" si="388">IF(ISNA(VLOOKUP(L349,$A:$A,1,0)),"Não","Sim")</f>
        <v>Não</v>
      </c>
      <c r="N349" s="26">
        <f t="shared" si="362"/>
        <v>47483</v>
      </c>
    </row>
    <row r="350" spans="1:14" x14ac:dyDescent="0.25">
      <c r="A350" s="39">
        <v>47484</v>
      </c>
      <c r="B350" t="s">
        <v>99</v>
      </c>
      <c r="C350" t="s">
        <v>97</v>
      </c>
      <c r="E350" s="26">
        <v>47484</v>
      </c>
      <c r="F350" s="26">
        <f t="shared" si="355"/>
        <v>47514</v>
      </c>
      <c r="G350" s="19">
        <f t="shared" si="356"/>
        <v>4</v>
      </c>
      <c r="H350" s="26">
        <f t="shared" si="357"/>
        <v>47514</v>
      </c>
      <c r="I350" s="26" t="str">
        <f t="shared" si="358"/>
        <v>Não</v>
      </c>
      <c r="J350" s="26">
        <f t="shared" si="359"/>
        <v>47514</v>
      </c>
      <c r="K350" s="26" t="str">
        <f t="shared" si="358"/>
        <v>Não</v>
      </c>
      <c r="L350" s="26">
        <f t="shared" si="360"/>
        <v>47514</v>
      </c>
      <c r="M350" s="26" t="str">
        <f t="shared" ref="M350" si="389">IF(ISNA(VLOOKUP(L350,$A:$A,1,0)),"Não","Sim")</f>
        <v>Não</v>
      </c>
      <c r="N350" s="26">
        <f t="shared" si="362"/>
        <v>47514</v>
      </c>
    </row>
    <row r="351" spans="1:14" x14ac:dyDescent="0.25">
      <c r="A351" s="39">
        <v>47546</v>
      </c>
      <c r="B351" t="s">
        <v>96</v>
      </c>
      <c r="C351" t="s">
        <v>98</v>
      </c>
      <c r="E351" s="26">
        <v>47515</v>
      </c>
      <c r="F351" s="26">
        <f t="shared" si="355"/>
        <v>47542</v>
      </c>
      <c r="G351" s="19">
        <f t="shared" si="356"/>
        <v>4</v>
      </c>
      <c r="H351" s="26">
        <f t="shared" si="357"/>
        <v>47542</v>
      </c>
      <c r="I351" s="26" t="str">
        <f t="shared" si="358"/>
        <v>Não</v>
      </c>
      <c r="J351" s="26">
        <f t="shared" si="359"/>
        <v>47542</v>
      </c>
      <c r="K351" s="26" t="str">
        <f t="shared" si="358"/>
        <v>Não</v>
      </c>
      <c r="L351" s="26">
        <f t="shared" si="360"/>
        <v>47542</v>
      </c>
      <c r="M351" s="26" t="str">
        <f t="shared" ref="M351" si="390">IF(ISNA(VLOOKUP(L351,$A:$A,1,0)),"Não","Sim")</f>
        <v>Não</v>
      </c>
      <c r="N351" s="26">
        <f t="shared" si="362"/>
        <v>47542</v>
      </c>
    </row>
    <row r="352" spans="1:14" x14ac:dyDescent="0.25">
      <c r="A352" s="39">
        <v>47547</v>
      </c>
      <c r="B352" t="s">
        <v>99</v>
      </c>
      <c r="C352" t="s">
        <v>98</v>
      </c>
      <c r="E352" s="26">
        <v>47543</v>
      </c>
      <c r="F352" s="26">
        <f t="shared" si="355"/>
        <v>47573</v>
      </c>
      <c r="G352" s="19">
        <f t="shared" si="356"/>
        <v>7</v>
      </c>
      <c r="H352" s="26">
        <f t="shared" si="357"/>
        <v>47571</v>
      </c>
      <c r="I352" s="26" t="str">
        <f t="shared" si="358"/>
        <v>Não</v>
      </c>
      <c r="J352" s="26">
        <f t="shared" si="359"/>
        <v>47571</v>
      </c>
      <c r="K352" s="26" t="str">
        <f t="shared" si="358"/>
        <v>Não</v>
      </c>
      <c r="L352" s="26">
        <f t="shared" si="360"/>
        <v>47571</v>
      </c>
      <c r="M352" s="26" t="str">
        <f t="shared" ref="M352" si="391">IF(ISNA(VLOOKUP(L352,$A:$A,1,0)),"Não","Sim")</f>
        <v>Não</v>
      </c>
      <c r="N352" s="26">
        <f t="shared" si="362"/>
        <v>47571</v>
      </c>
    </row>
    <row r="353" spans="1:14" x14ac:dyDescent="0.25">
      <c r="A353" s="39">
        <v>47592</v>
      </c>
      <c r="B353" t="s">
        <v>100</v>
      </c>
      <c r="C353" t="s">
        <v>101</v>
      </c>
      <c r="E353" s="26">
        <v>47574</v>
      </c>
      <c r="F353" s="26">
        <f t="shared" si="355"/>
        <v>47603</v>
      </c>
      <c r="G353" s="19">
        <f t="shared" si="356"/>
        <v>2</v>
      </c>
      <c r="H353" s="26">
        <f t="shared" si="357"/>
        <v>47603</v>
      </c>
      <c r="I353" s="26" t="str">
        <f t="shared" si="358"/>
        <v>Não</v>
      </c>
      <c r="J353" s="26">
        <f t="shared" si="359"/>
        <v>47603</v>
      </c>
      <c r="K353" s="26" t="str">
        <f t="shared" si="358"/>
        <v>Não</v>
      </c>
      <c r="L353" s="26">
        <f t="shared" si="360"/>
        <v>47603</v>
      </c>
      <c r="M353" s="26" t="str">
        <f t="shared" ref="M353" si="392">IF(ISNA(VLOOKUP(L353,$A:$A,1,0)),"Não","Sim")</f>
        <v>Não</v>
      </c>
      <c r="N353" s="26">
        <f t="shared" si="362"/>
        <v>47603</v>
      </c>
    </row>
    <row r="354" spans="1:14" x14ac:dyDescent="0.25">
      <c r="A354" s="39">
        <v>47594</v>
      </c>
      <c r="B354" t="s">
        <v>112</v>
      </c>
      <c r="C354" t="s">
        <v>103</v>
      </c>
      <c r="E354" s="26">
        <v>47604</v>
      </c>
      <c r="F354" s="26">
        <f t="shared" si="355"/>
        <v>47634</v>
      </c>
      <c r="G354" s="19">
        <f t="shared" si="356"/>
        <v>5</v>
      </c>
      <c r="H354" s="26">
        <f t="shared" si="357"/>
        <v>47634</v>
      </c>
      <c r="I354" s="26" t="str">
        <f t="shared" si="358"/>
        <v>Não</v>
      </c>
      <c r="J354" s="26">
        <f t="shared" si="359"/>
        <v>47634</v>
      </c>
      <c r="K354" s="26" t="str">
        <f t="shared" si="358"/>
        <v>Não</v>
      </c>
      <c r="L354" s="26">
        <f t="shared" si="360"/>
        <v>47634</v>
      </c>
      <c r="M354" s="26" t="str">
        <f t="shared" ref="M354" si="393">IF(ISNA(VLOOKUP(L354,$A:$A,1,0)),"Não","Sim")</f>
        <v>Não</v>
      </c>
      <c r="N354" s="26">
        <f t="shared" si="362"/>
        <v>47634</v>
      </c>
    </row>
    <row r="355" spans="1:14" x14ac:dyDescent="0.25">
      <c r="A355" s="39">
        <v>47604</v>
      </c>
      <c r="B355" t="s">
        <v>113</v>
      </c>
      <c r="C355" t="s">
        <v>104</v>
      </c>
      <c r="E355" s="26">
        <v>47635</v>
      </c>
      <c r="F355" s="26">
        <f t="shared" si="355"/>
        <v>47664</v>
      </c>
      <c r="G355" s="19">
        <f t="shared" si="356"/>
        <v>7</v>
      </c>
      <c r="H355" s="26">
        <f t="shared" si="357"/>
        <v>47662</v>
      </c>
      <c r="I355" s="26" t="str">
        <f t="shared" si="358"/>
        <v>Não</v>
      </c>
      <c r="J355" s="26">
        <f t="shared" si="359"/>
        <v>47662</v>
      </c>
      <c r="K355" s="26" t="str">
        <f t="shared" si="358"/>
        <v>Não</v>
      </c>
      <c r="L355" s="26">
        <f t="shared" si="360"/>
        <v>47662</v>
      </c>
      <c r="M355" s="26" t="str">
        <f t="shared" ref="M355" si="394">IF(ISNA(VLOOKUP(L355,$A:$A,1,0)),"Não","Sim")</f>
        <v>Não</v>
      </c>
      <c r="N355" s="26">
        <f t="shared" si="362"/>
        <v>47662</v>
      </c>
    </row>
    <row r="356" spans="1:14" x14ac:dyDescent="0.25">
      <c r="A356" s="39">
        <v>47654</v>
      </c>
      <c r="B356" t="s">
        <v>105</v>
      </c>
      <c r="C356" t="s">
        <v>106</v>
      </c>
      <c r="E356" s="26">
        <v>47665</v>
      </c>
      <c r="F356" s="26">
        <f t="shared" si="355"/>
        <v>47695</v>
      </c>
      <c r="G356" s="19">
        <f t="shared" si="356"/>
        <v>3</v>
      </c>
      <c r="H356" s="26">
        <f t="shared" si="357"/>
        <v>47695</v>
      </c>
      <c r="I356" s="26" t="str">
        <f t="shared" si="358"/>
        <v>Não</v>
      </c>
      <c r="J356" s="26">
        <f t="shared" si="359"/>
        <v>47695</v>
      </c>
      <c r="K356" s="26" t="str">
        <f t="shared" si="358"/>
        <v>Não</v>
      </c>
      <c r="L356" s="26">
        <f t="shared" si="360"/>
        <v>47695</v>
      </c>
      <c r="M356" s="26" t="str">
        <f t="shared" ref="M356" si="395">IF(ISNA(VLOOKUP(L356,$A:$A,1,0)),"Não","Sim")</f>
        <v>Não</v>
      </c>
      <c r="N356" s="26">
        <f t="shared" si="362"/>
        <v>47695</v>
      </c>
    </row>
    <row r="357" spans="1:14" x14ac:dyDescent="0.25">
      <c r="A357" s="39">
        <v>47733</v>
      </c>
      <c r="B357" t="s">
        <v>102</v>
      </c>
      <c r="C357" t="s">
        <v>107</v>
      </c>
      <c r="E357" s="26">
        <v>47696</v>
      </c>
      <c r="F357" s="26">
        <f t="shared" si="355"/>
        <v>47726</v>
      </c>
      <c r="G357" s="19">
        <f t="shared" si="356"/>
        <v>6</v>
      </c>
      <c r="H357" s="26">
        <f t="shared" si="357"/>
        <v>47725</v>
      </c>
      <c r="I357" s="26" t="str">
        <f t="shared" si="358"/>
        <v>Não</v>
      </c>
      <c r="J357" s="26">
        <f t="shared" si="359"/>
        <v>47725</v>
      </c>
      <c r="K357" s="26" t="str">
        <f t="shared" si="358"/>
        <v>Não</v>
      </c>
      <c r="L357" s="26">
        <f t="shared" si="360"/>
        <v>47725</v>
      </c>
      <c r="M357" s="26" t="str">
        <f t="shared" ref="M357" si="396">IF(ISNA(VLOOKUP(L357,$A:$A,1,0)),"Não","Sim")</f>
        <v>Não</v>
      </c>
      <c r="N357" s="26">
        <f t="shared" si="362"/>
        <v>47725</v>
      </c>
    </row>
    <row r="358" spans="1:14" x14ac:dyDescent="0.25">
      <c r="A358" s="39">
        <v>47768</v>
      </c>
      <c r="B358" t="s">
        <v>102</v>
      </c>
      <c r="C358" t="s">
        <v>108</v>
      </c>
      <c r="E358" s="26">
        <v>47727</v>
      </c>
      <c r="F358" s="26">
        <f t="shared" si="355"/>
        <v>47756</v>
      </c>
      <c r="G358" s="19">
        <f t="shared" si="356"/>
        <v>1</v>
      </c>
      <c r="H358" s="26">
        <f t="shared" si="357"/>
        <v>47756</v>
      </c>
      <c r="I358" s="26" t="str">
        <f t="shared" si="358"/>
        <v>Não</v>
      </c>
      <c r="J358" s="26">
        <f t="shared" si="359"/>
        <v>47756</v>
      </c>
      <c r="K358" s="26" t="str">
        <f t="shared" si="358"/>
        <v>Não</v>
      </c>
      <c r="L358" s="26">
        <f t="shared" si="360"/>
        <v>47756</v>
      </c>
      <c r="M358" s="26" t="str">
        <f t="shared" ref="M358" si="397">IF(ISNA(VLOOKUP(L358,$A:$A,1,0)),"Não","Sim")</f>
        <v>Não</v>
      </c>
      <c r="N358" s="26">
        <f t="shared" si="362"/>
        <v>47756</v>
      </c>
    </row>
    <row r="359" spans="1:14" x14ac:dyDescent="0.25">
      <c r="A359" s="39">
        <v>47789</v>
      </c>
      <c r="B359" t="s">
        <v>102</v>
      </c>
      <c r="C359" t="s">
        <v>109</v>
      </c>
      <c r="E359" s="26">
        <v>47757</v>
      </c>
      <c r="F359" s="26">
        <f t="shared" si="355"/>
        <v>47787</v>
      </c>
      <c r="G359" s="19">
        <f t="shared" si="356"/>
        <v>4</v>
      </c>
      <c r="H359" s="26">
        <f t="shared" si="357"/>
        <v>47787</v>
      </c>
      <c r="I359" s="26" t="str">
        <f t="shared" si="358"/>
        <v>Não</v>
      </c>
      <c r="J359" s="26">
        <f t="shared" si="359"/>
        <v>47787</v>
      </c>
      <c r="K359" s="26" t="str">
        <f t="shared" si="358"/>
        <v>Não</v>
      </c>
      <c r="L359" s="26">
        <f t="shared" si="360"/>
        <v>47787</v>
      </c>
      <c r="M359" s="26" t="str">
        <f t="shared" ref="M359" si="398">IF(ISNA(VLOOKUP(L359,$A:$A,1,0)),"Não","Sim")</f>
        <v>Não</v>
      </c>
      <c r="N359" s="26">
        <f t="shared" si="362"/>
        <v>47787</v>
      </c>
    </row>
    <row r="360" spans="1:14" x14ac:dyDescent="0.25">
      <c r="A360" s="39">
        <v>47802</v>
      </c>
      <c r="B360" t="s">
        <v>100</v>
      </c>
      <c r="C360" t="s">
        <v>110</v>
      </c>
      <c r="E360" s="26">
        <v>47788</v>
      </c>
      <c r="F360" s="26">
        <f t="shared" si="355"/>
        <v>47817</v>
      </c>
      <c r="G360" s="19">
        <f t="shared" si="356"/>
        <v>6</v>
      </c>
      <c r="H360" s="26">
        <f t="shared" si="357"/>
        <v>47816</v>
      </c>
      <c r="I360" s="26" t="str">
        <f t="shared" si="358"/>
        <v>Não</v>
      </c>
      <c r="J360" s="26">
        <f t="shared" si="359"/>
        <v>47816</v>
      </c>
      <c r="K360" s="26" t="str">
        <f t="shared" si="358"/>
        <v>Não</v>
      </c>
      <c r="L360" s="26">
        <f t="shared" si="360"/>
        <v>47816</v>
      </c>
      <c r="M360" s="26" t="str">
        <f t="shared" ref="M360" si="399">IF(ISNA(VLOOKUP(L360,$A:$A,1,0)),"Não","Sim")</f>
        <v>Não</v>
      </c>
      <c r="N360" s="26">
        <f t="shared" si="362"/>
        <v>47816</v>
      </c>
    </row>
    <row r="361" spans="1:14" x14ac:dyDescent="0.25">
      <c r="A361" s="39">
        <v>47842</v>
      </c>
      <c r="B361" t="s">
        <v>113</v>
      </c>
      <c r="C361" t="s">
        <v>111</v>
      </c>
      <c r="E361" s="26">
        <v>47818</v>
      </c>
      <c r="F361" s="26">
        <f t="shared" si="355"/>
        <v>47848</v>
      </c>
      <c r="G361" s="19">
        <f t="shared" si="356"/>
        <v>2</v>
      </c>
      <c r="H361" s="26">
        <f t="shared" si="357"/>
        <v>47848</v>
      </c>
      <c r="I361" s="26" t="str">
        <f t="shared" si="358"/>
        <v>Não</v>
      </c>
      <c r="J361" s="26">
        <f t="shared" si="359"/>
        <v>47848</v>
      </c>
      <c r="K361" s="26" t="str">
        <f t="shared" si="358"/>
        <v>Não</v>
      </c>
      <c r="L361" s="26">
        <f t="shared" si="360"/>
        <v>47848</v>
      </c>
      <c r="M361" s="26" t="str">
        <f t="shared" ref="M361" si="400">IF(ISNA(VLOOKUP(L361,$A:$A,1,0)),"Não","Sim")</f>
        <v>Não</v>
      </c>
      <c r="N361" s="26">
        <f t="shared" si="362"/>
        <v>47848</v>
      </c>
    </row>
    <row r="362" spans="1:14" x14ac:dyDescent="0.25">
      <c r="A362" s="39">
        <v>47849</v>
      </c>
      <c r="B362" t="s">
        <v>113</v>
      </c>
      <c r="C362" t="s">
        <v>97</v>
      </c>
      <c r="E362" s="26">
        <v>47849</v>
      </c>
      <c r="F362" s="26">
        <f t="shared" si="355"/>
        <v>47879</v>
      </c>
      <c r="G362" s="19">
        <f t="shared" si="356"/>
        <v>5</v>
      </c>
      <c r="H362" s="26">
        <f t="shared" si="357"/>
        <v>47879</v>
      </c>
      <c r="I362" s="26" t="str">
        <f t="shared" si="358"/>
        <v>Não</v>
      </c>
      <c r="J362" s="26">
        <f t="shared" si="359"/>
        <v>47879</v>
      </c>
      <c r="K362" s="26" t="str">
        <f t="shared" si="358"/>
        <v>Não</v>
      </c>
      <c r="L362" s="26">
        <f t="shared" si="360"/>
        <v>47879</v>
      </c>
      <c r="M362" s="26" t="str">
        <f t="shared" ref="M362" si="401">IF(ISNA(VLOOKUP(L362,$A:$A,1,0)),"Não","Sim")</f>
        <v>Não</v>
      </c>
      <c r="N362" s="26">
        <f t="shared" si="362"/>
        <v>47879</v>
      </c>
    </row>
    <row r="363" spans="1:14" x14ac:dyDescent="0.25">
      <c r="A363" s="39">
        <v>47903</v>
      </c>
      <c r="B363" t="s">
        <v>96</v>
      </c>
      <c r="C363" t="s">
        <v>98</v>
      </c>
      <c r="E363" s="26">
        <v>47880</v>
      </c>
      <c r="F363" s="26">
        <f t="shared" si="355"/>
        <v>47907</v>
      </c>
      <c r="G363" s="19">
        <f t="shared" si="356"/>
        <v>5</v>
      </c>
      <c r="H363" s="26">
        <f t="shared" si="357"/>
        <v>47907</v>
      </c>
      <c r="I363" s="26" t="str">
        <f t="shared" si="358"/>
        <v>Não</v>
      </c>
      <c r="J363" s="26">
        <f t="shared" si="359"/>
        <v>47907</v>
      </c>
      <c r="K363" s="26" t="str">
        <f t="shared" si="358"/>
        <v>Não</v>
      </c>
      <c r="L363" s="26">
        <f t="shared" si="360"/>
        <v>47907</v>
      </c>
      <c r="M363" s="26" t="str">
        <f t="shared" ref="M363" si="402">IF(ISNA(VLOOKUP(L363,$A:$A,1,0)),"Não","Sim")</f>
        <v>Não</v>
      </c>
      <c r="N363" s="26">
        <f t="shared" si="362"/>
        <v>47907</v>
      </c>
    </row>
    <row r="364" spans="1:14" x14ac:dyDescent="0.25">
      <c r="A364" s="39">
        <v>47904</v>
      </c>
      <c r="B364" t="s">
        <v>99</v>
      </c>
      <c r="C364" t="s">
        <v>98</v>
      </c>
      <c r="E364" s="26">
        <v>47908</v>
      </c>
      <c r="F364" s="26">
        <f t="shared" si="355"/>
        <v>47938</v>
      </c>
      <c r="G364" s="19">
        <f t="shared" si="356"/>
        <v>1</v>
      </c>
      <c r="H364" s="26">
        <f t="shared" si="357"/>
        <v>47938</v>
      </c>
      <c r="I364" s="26" t="str">
        <f t="shared" si="358"/>
        <v>Não</v>
      </c>
      <c r="J364" s="26">
        <f t="shared" si="359"/>
        <v>47938</v>
      </c>
      <c r="K364" s="26" t="str">
        <f t="shared" si="358"/>
        <v>Não</v>
      </c>
      <c r="L364" s="26">
        <f t="shared" si="360"/>
        <v>47938</v>
      </c>
      <c r="M364" s="26" t="str">
        <f t="shared" ref="M364" si="403">IF(ISNA(VLOOKUP(L364,$A:$A,1,0)),"Não","Sim")</f>
        <v>Não</v>
      </c>
      <c r="N364" s="26">
        <f t="shared" si="362"/>
        <v>47938</v>
      </c>
    </row>
    <row r="365" spans="1:14" x14ac:dyDescent="0.25">
      <c r="A365" s="39">
        <v>47949</v>
      </c>
      <c r="B365" t="s">
        <v>100</v>
      </c>
      <c r="C365" t="s">
        <v>101</v>
      </c>
      <c r="E365" s="26">
        <v>47939</v>
      </c>
      <c r="F365" s="26">
        <f t="shared" si="355"/>
        <v>47968</v>
      </c>
      <c r="G365" s="19">
        <f t="shared" si="356"/>
        <v>3</v>
      </c>
      <c r="H365" s="26">
        <f t="shared" si="357"/>
        <v>47968</v>
      </c>
      <c r="I365" s="26" t="str">
        <f t="shared" si="358"/>
        <v>Não</v>
      </c>
      <c r="J365" s="26">
        <f t="shared" si="359"/>
        <v>47968</v>
      </c>
      <c r="K365" s="26" t="str">
        <f t="shared" si="358"/>
        <v>Não</v>
      </c>
      <c r="L365" s="26">
        <f t="shared" si="360"/>
        <v>47968</v>
      </c>
      <c r="M365" s="26" t="str">
        <f t="shared" ref="M365" si="404">IF(ISNA(VLOOKUP(L365,$A:$A,1,0)),"Não","Sim")</f>
        <v>Não</v>
      </c>
      <c r="N365" s="26">
        <f t="shared" si="362"/>
        <v>47968</v>
      </c>
    </row>
    <row r="366" spans="1:14" x14ac:dyDescent="0.25">
      <c r="A366" s="39">
        <v>47959</v>
      </c>
      <c r="B366" t="s">
        <v>96</v>
      </c>
      <c r="C366" t="s">
        <v>103</v>
      </c>
      <c r="E366" s="26">
        <v>47969</v>
      </c>
      <c r="F366" s="26">
        <f t="shared" si="355"/>
        <v>47999</v>
      </c>
      <c r="G366" s="19">
        <f t="shared" si="356"/>
        <v>6</v>
      </c>
      <c r="H366" s="26">
        <f t="shared" si="357"/>
        <v>47998</v>
      </c>
      <c r="I366" s="26" t="str">
        <f t="shared" si="358"/>
        <v>Não</v>
      </c>
      <c r="J366" s="26">
        <f t="shared" si="359"/>
        <v>47998</v>
      </c>
      <c r="K366" s="26" t="str">
        <f t="shared" si="358"/>
        <v>Não</v>
      </c>
      <c r="L366" s="26">
        <f t="shared" si="360"/>
        <v>47998</v>
      </c>
      <c r="M366" s="26" t="str">
        <f t="shared" ref="M366" si="405">IF(ISNA(VLOOKUP(L366,$A:$A,1,0)),"Não","Sim")</f>
        <v>Não</v>
      </c>
      <c r="N366" s="26">
        <f t="shared" si="362"/>
        <v>47998</v>
      </c>
    </row>
    <row r="367" spans="1:14" x14ac:dyDescent="0.25">
      <c r="A367" s="39">
        <v>47969</v>
      </c>
      <c r="B367" t="s">
        <v>105</v>
      </c>
      <c r="C367" t="s">
        <v>104</v>
      </c>
      <c r="E367" s="26">
        <v>48000</v>
      </c>
      <c r="F367" s="26">
        <f t="shared" si="355"/>
        <v>48029</v>
      </c>
      <c r="G367" s="19">
        <f t="shared" si="356"/>
        <v>1</v>
      </c>
      <c r="H367" s="26">
        <f t="shared" si="357"/>
        <v>48029</v>
      </c>
      <c r="I367" s="26" t="str">
        <f t="shared" si="358"/>
        <v>Não</v>
      </c>
      <c r="J367" s="26">
        <f t="shared" si="359"/>
        <v>48029</v>
      </c>
      <c r="K367" s="26" t="str">
        <f t="shared" si="358"/>
        <v>Não</v>
      </c>
      <c r="L367" s="26">
        <f t="shared" si="360"/>
        <v>48029</v>
      </c>
      <c r="M367" s="26" t="str">
        <f t="shared" ref="M367" si="406">IF(ISNA(VLOOKUP(L367,$A:$A,1,0)),"Não","Sim")</f>
        <v>Não</v>
      </c>
      <c r="N367" s="26">
        <f t="shared" si="362"/>
        <v>48029</v>
      </c>
    </row>
    <row r="368" spans="1:14" x14ac:dyDescent="0.25">
      <c r="A368" s="39">
        <v>48011</v>
      </c>
      <c r="B368" t="s">
        <v>105</v>
      </c>
      <c r="C368" t="s">
        <v>106</v>
      </c>
      <c r="E368" s="26">
        <v>48030</v>
      </c>
      <c r="F368" s="26">
        <f t="shared" si="355"/>
        <v>48060</v>
      </c>
      <c r="G368" s="19">
        <f t="shared" si="356"/>
        <v>4</v>
      </c>
      <c r="H368" s="26">
        <f t="shared" si="357"/>
        <v>48060</v>
      </c>
      <c r="I368" s="26" t="str">
        <f t="shared" si="358"/>
        <v>Não</v>
      </c>
      <c r="J368" s="26">
        <f t="shared" si="359"/>
        <v>48060</v>
      </c>
      <c r="K368" s="26" t="str">
        <f t="shared" si="358"/>
        <v>Não</v>
      </c>
      <c r="L368" s="26">
        <f t="shared" si="360"/>
        <v>48060</v>
      </c>
      <c r="M368" s="26" t="str">
        <f t="shared" ref="M368" si="407">IF(ISNA(VLOOKUP(L368,$A:$A,1,0)),"Não","Sim")</f>
        <v>Não</v>
      </c>
      <c r="N368" s="26">
        <f t="shared" si="362"/>
        <v>48060</v>
      </c>
    </row>
    <row r="369" spans="1:14" x14ac:dyDescent="0.25">
      <c r="A369" s="39">
        <v>48098</v>
      </c>
      <c r="B369" t="s">
        <v>112</v>
      </c>
      <c r="C369" t="s">
        <v>107</v>
      </c>
      <c r="E369" s="26">
        <v>48061</v>
      </c>
      <c r="F369" s="26">
        <f t="shared" si="355"/>
        <v>48091</v>
      </c>
      <c r="G369" s="19">
        <f t="shared" si="356"/>
        <v>7</v>
      </c>
      <c r="H369" s="26">
        <f t="shared" si="357"/>
        <v>48089</v>
      </c>
      <c r="I369" s="26" t="str">
        <f t="shared" si="358"/>
        <v>Não</v>
      </c>
      <c r="J369" s="26">
        <f t="shared" si="359"/>
        <v>48089</v>
      </c>
      <c r="K369" s="26" t="str">
        <f t="shared" si="358"/>
        <v>Não</v>
      </c>
      <c r="L369" s="26">
        <f t="shared" si="360"/>
        <v>48089</v>
      </c>
      <c r="M369" s="26" t="str">
        <f t="shared" ref="M369" si="408">IF(ISNA(VLOOKUP(L369,$A:$A,1,0)),"Não","Sim")</f>
        <v>Não</v>
      </c>
      <c r="N369" s="26">
        <f t="shared" si="362"/>
        <v>48089</v>
      </c>
    </row>
    <row r="370" spans="1:14" x14ac:dyDescent="0.25">
      <c r="A370" s="39">
        <v>48133</v>
      </c>
      <c r="B370" t="s">
        <v>112</v>
      </c>
      <c r="C370" t="s">
        <v>108</v>
      </c>
      <c r="E370" s="26">
        <v>48092</v>
      </c>
      <c r="F370" s="26">
        <f t="shared" si="355"/>
        <v>48121</v>
      </c>
      <c r="G370" s="19">
        <f t="shared" si="356"/>
        <v>2</v>
      </c>
      <c r="H370" s="26">
        <f t="shared" si="357"/>
        <v>48121</v>
      </c>
      <c r="I370" s="26" t="str">
        <f t="shared" si="358"/>
        <v>Não</v>
      </c>
      <c r="J370" s="26">
        <f t="shared" si="359"/>
        <v>48121</v>
      </c>
      <c r="K370" s="26" t="str">
        <f t="shared" si="358"/>
        <v>Não</v>
      </c>
      <c r="L370" s="26">
        <f t="shared" si="360"/>
        <v>48121</v>
      </c>
      <c r="M370" s="26" t="str">
        <f t="shared" ref="M370" si="409">IF(ISNA(VLOOKUP(L370,$A:$A,1,0)),"Não","Sim")</f>
        <v>Não</v>
      </c>
      <c r="N370" s="26">
        <f t="shared" si="362"/>
        <v>48121</v>
      </c>
    </row>
    <row r="371" spans="1:14" x14ac:dyDescent="0.25">
      <c r="A371" s="39">
        <v>48154</v>
      </c>
      <c r="B371" t="s">
        <v>112</v>
      </c>
      <c r="C371" t="s">
        <v>109</v>
      </c>
      <c r="E371" s="26">
        <v>48122</v>
      </c>
      <c r="F371" s="26">
        <f t="shared" si="355"/>
        <v>48152</v>
      </c>
      <c r="G371" s="19">
        <f t="shared" si="356"/>
        <v>5</v>
      </c>
      <c r="H371" s="26">
        <f t="shared" si="357"/>
        <v>48152</v>
      </c>
      <c r="I371" s="26" t="str">
        <f t="shared" si="358"/>
        <v>Não</v>
      </c>
      <c r="J371" s="26">
        <f t="shared" si="359"/>
        <v>48152</v>
      </c>
      <c r="K371" s="26" t="str">
        <f t="shared" si="358"/>
        <v>Não</v>
      </c>
      <c r="L371" s="26">
        <f t="shared" si="360"/>
        <v>48152</v>
      </c>
      <c r="M371" s="26" t="str">
        <f t="shared" ref="M371" si="410">IF(ISNA(VLOOKUP(L371,$A:$A,1,0)),"Não","Sim")</f>
        <v>Não</v>
      </c>
      <c r="N371" s="26">
        <f t="shared" si="362"/>
        <v>48152</v>
      </c>
    </row>
    <row r="372" spans="1:14" x14ac:dyDescent="0.25">
      <c r="A372" s="39">
        <v>48167</v>
      </c>
      <c r="B372" t="s">
        <v>102</v>
      </c>
      <c r="C372" t="s">
        <v>110</v>
      </c>
      <c r="E372" s="26">
        <v>48153</v>
      </c>
      <c r="F372" s="26">
        <f t="shared" si="355"/>
        <v>48182</v>
      </c>
      <c r="G372" s="19">
        <f t="shared" si="356"/>
        <v>7</v>
      </c>
      <c r="H372" s="26">
        <f t="shared" si="357"/>
        <v>48180</v>
      </c>
      <c r="I372" s="26" t="str">
        <f t="shared" si="358"/>
        <v>Não</v>
      </c>
      <c r="J372" s="26">
        <f t="shared" si="359"/>
        <v>48180</v>
      </c>
      <c r="K372" s="26" t="str">
        <f t="shared" si="358"/>
        <v>Não</v>
      </c>
      <c r="L372" s="26">
        <f t="shared" si="360"/>
        <v>48180</v>
      </c>
      <c r="M372" s="26" t="str">
        <f t="shared" ref="M372" si="411">IF(ISNA(VLOOKUP(L372,$A:$A,1,0)),"Não","Sim")</f>
        <v>Não</v>
      </c>
      <c r="N372" s="26">
        <f t="shared" si="362"/>
        <v>48180</v>
      </c>
    </row>
    <row r="373" spans="1:14" x14ac:dyDescent="0.25">
      <c r="A373" s="39">
        <v>48207</v>
      </c>
      <c r="B373" t="s">
        <v>105</v>
      </c>
      <c r="C373" t="s">
        <v>111</v>
      </c>
      <c r="E373" s="26">
        <v>48183</v>
      </c>
      <c r="F373" s="26">
        <f t="shared" si="355"/>
        <v>48213</v>
      </c>
      <c r="G373" s="19">
        <f t="shared" si="356"/>
        <v>3</v>
      </c>
      <c r="H373" s="26">
        <f t="shared" si="357"/>
        <v>48213</v>
      </c>
      <c r="I373" s="26" t="str">
        <f t="shared" si="358"/>
        <v>Não</v>
      </c>
      <c r="J373" s="26">
        <f t="shared" si="359"/>
        <v>48213</v>
      </c>
      <c r="K373" s="26" t="str">
        <f t="shared" si="358"/>
        <v>Não</v>
      </c>
      <c r="L373" s="26">
        <f t="shared" si="360"/>
        <v>48213</v>
      </c>
      <c r="M373" s="26" t="str">
        <f t="shared" ref="M373" si="412">IF(ISNA(VLOOKUP(L373,$A:$A,1,0)),"Não","Sim")</f>
        <v>Não</v>
      </c>
      <c r="N373" s="26">
        <f t="shared" si="362"/>
        <v>48213</v>
      </c>
    </row>
    <row r="374" spans="1:14" x14ac:dyDescent="0.25">
      <c r="A374" s="39">
        <v>48214</v>
      </c>
      <c r="B374" t="s">
        <v>105</v>
      </c>
      <c r="C374" t="s">
        <v>97</v>
      </c>
      <c r="E374" s="26">
        <v>48214</v>
      </c>
      <c r="F374" s="26">
        <f t="shared" si="355"/>
        <v>48244</v>
      </c>
      <c r="G374" s="19">
        <f t="shared" si="356"/>
        <v>6</v>
      </c>
      <c r="H374" s="26">
        <f t="shared" si="357"/>
        <v>48243</v>
      </c>
      <c r="I374" s="26" t="str">
        <f t="shared" si="358"/>
        <v>Não</v>
      </c>
      <c r="J374" s="26">
        <f t="shared" si="359"/>
        <v>48243</v>
      </c>
      <c r="K374" s="26" t="str">
        <f t="shared" si="358"/>
        <v>Não</v>
      </c>
      <c r="L374" s="26">
        <f t="shared" si="360"/>
        <v>48243</v>
      </c>
      <c r="M374" s="26" t="str">
        <f t="shared" ref="M374" si="413">IF(ISNA(VLOOKUP(L374,$A:$A,1,0)),"Não","Sim")</f>
        <v>Não</v>
      </c>
      <c r="N374" s="26">
        <f t="shared" si="362"/>
        <v>48243</v>
      </c>
    </row>
    <row r="375" spans="1:14" x14ac:dyDescent="0.25">
      <c r="A375" s="39">
        <v>48253</v>
      </c>
      <c r="B375" t="s">
        <v>96</v>
      </c>
      <c r="C375" t="s">
        <v>98</v>
      </c>
      <c r="E375" s="26">
        <v>48245</v>
      </c>
      <c r="F375" s="26">
        <f t="shared" si="355"/>
        <v>48273</v>
      </c>
      <c r="G375" s="19">
        <f t="shared" si="356"/>
        <v>7</v>
      </c>
      <c r="H375" s="26">
        <f t="shared" si="357"/>
        <v>48271</v>
      </c>
      <c r="I375" s="26" t="str">
        <f t="shared" si="358"/>
        <v>Não</v>
      </c>
      <c r="J375" s="26">
        <f t="shared" si="359"/>
        <v>48271</v>
      </c>
      <c r="K375" s="26" t="str">
        <f t="shared" si="358"/>
        <v>Não</v>
      </c>
      <c r="L375" s="26">
        <f t="shared" si="360"/>
        <v>48271</v>
      </c>
      <c r="M375" s="26" t="str">
        <f t="shared" ref="M375" si="414">IF(ISNA(VLOOKUP(L375,$A:$A,1,0)),"Não","Sim")</f>
        <v>Não</v>
      </c>
      <c r="N375" s="26">
        <f t="shared" si="362"/>
        <v>48271</v>
      </c>
    </row>
    <row r="376" spans="1:14" x14ac:dyDescent="0.25">
      <c r="A376" s="39">
        <v>48254</v>
      </c>
      <c r="B376" t="s">
        <v>99</v>
      </c>
      <c r="C376" t="s">
        <v>98</v>
      </c>
      <c r="E376" s="26">
        <v>48274</v>
      </c>
      <c r="F376" s="26">
        <f t="shared" si="355"/>
        <v>48304</v>
      </c>
      <c r="G376" s="19">
        <f t="shared" si="356"/>
        <v>3</v>
      </c>
      <c r="H376" s="26">
        <f t="shared" si="357"/>
        <v>48304</v>
      </c>
      <c r="I376" s="26" t="str">
        <f t="shared" si="358"/>
        <v>Não</v>
      </c>
      <c r="J376" s="26">
        <f t="shared" si="359"/>
        <v>48304</v>
      </c>
      <c r="K376" s="26" t="str">
        <f t="shared" si="358"/>
        <v>Não</v>
      </c>
      <c r="L376" s="26">
        <f t="shared" si="360"/>
        <v>48304</v>
      </c>
      <c r="M376" s="26" t="str">
        <f t="shared" ref="M376" si="415">IF(ISNA(VLOOKUP(L376,$A:$A,1,0)),"Não","Sim")</f>
        <v>Não</v>
      </c>
      <c r="N376" s="26">
        <f t="shared" si="362"/>
        <v>48304</v>
      </c>
    </row>
    <row r="377" spans="1:14" x14ac:dyDescent="0.25">
      <c r="A377" s="39">
        <v>48299</v>
      </c>
      <c r="B377" t="s">
        <v>100</v>
      </c>
      <c r="C377" t="s">
        <v>101</v>
      </c>
      <c r="E377" s="26">
        <v>48305</v>
      </c>
      <c r="F377" s="26">
        <f t="shared" si="355"/>
        <v>48334</v>
      </c>
      <c r="G377" s="19">
        <f t="shared" si="356"/>
        <v>5</v>
      </c>
      <c r="H377" s="26">
        <f t="shared" si="357"/>
        <v>48334</v>
      </c>
      <c r="I377" s="26" t="str">
        <f t="shared" si="358"/>
        <v>Não</v>
      </c>
      <c r="J377" s="26">
        <f t="shared" si="359"/>
        <v>48334</v>
      </c>
      <c r="K377" s="26" t="str">
        <f t="shared" si="358"/>
        <v>Não</v>
      </c>
      <c r="L377" s="26">
        <f t="shared" si="360"/>
        <v>48334</v>
      </c>
      <c r="M377" s="26" t="str">
        <f t="shared" ref="M377" si="416">IF(ISNA(VLOOKUP(L377,$A:$A,1,0)),"Não","Sim")</f>
        <v>Não</v>
      </c>
      <c r="N377" s="26">
        <f t="shared" si="362"/>
        <v>48334</v>
      </c>
    </row>
    <row r="378" spans="1:14" x14ac:dyDescent="0.25">
      <c r="A378" s="39">
        <v>48325</v>
      </c>
      <c r="B378" t="s">
        <v>113</v>
      </c>
      <c r="C378" t="s">
        <v>103</v>
      </c>
      <c r="E378" s="26">
        <v>48335</v>
      </c>
      <c r="F378" s="26">
        <f t="shared" si="355"/>
        <v>48365</v>
      </c>
      <c r="G378" s="19">
        <f t="shared" si="356"/>
        <v>1</v>
      </c>
      <c r="H378" s="26">
        <f t="shared" si="357"/>
        <v>48365</v>
      </c>
      <c r="I378" s="26" t="str">
        <f t="shared" si="358"/>
        <v>Não</v>
      </c>
      <c r="J378" s="26">
        <f t="shared" si="359"/>
        <v>48365</v>
      </c>
      <c r="K378" s="26" t="str">
        <f t="shared" si="358"/>
        <v>Não</v>
      </c>
      <c r="L378" s="26">
        <f t="shared" si="360"/>
        <v>48365</v>
      </c>
      <c r="M378" s="26" t="str">
        <f t="shared" ref="M378" si="417">IF(ISNA(VLOOKUP(L378,$A:$A,1,0)),"Não","Sim")</f>
        <v>Não</v>
      </c>
      <c r="N378" s="26">
        <f t="shared" si="362"/>
        <v>48365</v>
      </c>
    </row>
    <row r="379" spans="1:14" x14ac:dyDescent="0.25">
      <c r="A379" s="39">
        <v>48335</v>
      </c>
      <c r="B379" t="s">
        <v>102</v>
      </c>
      <c r="C379" t="s">
        <v>104</v>
      </c>
      <c r="E379" s="26">
        <v>48366</v>
      </c>
      <c r="F379" s="26">
        <f t="shared" si="355"/>
        <v>48395</v>
      </c>
      <c r="G379" s="19">
        <f t="shared" si="356"/>
        <v>3</v>
      </c>
      <c r="H379" s="26">
        <f t="shared" si="357"/>
        <v>48395</v>
      </c>
      <c r="I379" s="26" t="str">
        <f t="shared" si="358"/>
        <v>Não</v>
      </c>
      <c r="J379" s="26">
        <f t="shared" si="359"/>
        <v>48395</v>
      </c>
      <c r="K379" s="26" t="str">
        <f t="shared" si="358"/>
        <v>Não</v>
      </c>
      <c r="L379" s="26">
        <f t="shared" si="360"/>
        <v>48395</v>
      </c>
      <c r="M379" s="26" t="str">
        <f t="shared" ref="M379" si="418">IF(ISNA(VLOOKUP(L379,$A:$A,1,0)),"Não","Sim")</f>
        <v>Não</v>
      </c>
      <c r="N379" s="26">
        <f t="shared" si="362"/>
        <v>48395</v>
      </c>
    </row>
    <row r="380" spans="1:14" x14ac:dyDescent="0.25">
      <c r="A380" s="39">
        <v>48361</v>
      </c>
      <c r="B380" t="s">
        <v>105</v>
      </c>
      <c r="C380" t="s">
        <v>106</v>
      </c>
      <c r="E380" s="26">
        <v>48396</v>
      </c>
      <c r="F380" s="26">
        <f t="shared" si="355"/>
        <v>48426</v>
      </c>
      <c r="G380" s="19">
        <f t="shared" si="356"/>
        <v>6</v>
      </c>
      <c r="H380" s="26">
        <f t="shared" si="357"/>
        <v>48425</v>
      </c>
      <c r="I380" s="26" t="str">
        <f t="shared" si="358"/>
        <v>Não</v>
      </c>
      <c r="J380" s="26">
        <f t="shared" si="359"/>
        <v>48425</v>
      </c>
      <c r="K380" s="26" t="str">
        <f t="shared" si="358"/>
        <v>Não</v>
      </c>
      <c r="L380" s="26">
        <f t="shared" si="360"/>
        <v>48425</v>
      </c>
      <c r="M380" s="26" t="str">
        <f t="shared" ref="M380" si="419">IF(ISNA(VLOOKUP(L380,$A:$A,1,0)),"Não","Sim")</f>
        <v>Não</v>
      </c>
      <c r="N380" s="26">
        <f t="shared" si="362"/>
        <v>48425</v>
      </c>
    </row>
    <row r="381" spans="1:14" x14ac:dyDescent="0.25">
      <c r="A381" s="39">
        <v>48464</v>
      </c>
      <c r="B381" t="s">
        <v>99</v>
      </c>
      <c r="C381" t="s">
        <v>107</v>
      </c>
      <c r="E381" s="26">
        <v>48427</v>
      </c>
      <c r="F381" s="26">
        <f t="shared" si="355"/>
        <v>48457</v>
      </c>
      <c r="G381" s="19">
        <f t="shared" si="356"/>
        <v>2</v>
      </c>
      <c r="H381" s="26">
        <f t="shared" si="357"/>
        <v>48457</v>
      </c>
      <c r="I381" s="26" t="str">
        <f t="shared" si="358"/>
        <v>Não</v>
      </c>
      <c r="J381" s="26">
        <f t="shared" si="359"/>
        <v>48457</v>
      </c>
      <c r="K381" s="26" t="str">
        <f t="shared" si="358"/>
        <v>Não</v>
      </c>
      <c r="L381" s="26">
        <f t="shared" si="360"/>
        <v>48457</v>
      </c>
      <c r="M381" s="26" t="str">
        <f t="shared" ref="M381" si="420">IF(ISNA(VLOOKUP(L381,$A:$A,1,0)),"Não","Sim")</f>
        <v>Não</v>
      </c>
      <c r="N381" s="26">
        <f t="shared" si="362"/>
        <v>48457</v>
      </c>
    </row>
    <row r="382" spans="1:14" x14ac:dyDescent="0.25">
      <c r="A382" s="39">
        <v>48499</v>
      </c>
      <c r="B382" t="s">
        <v>99</v>
      </c>
      <c r="C382" t="s">
        <v>108</v>
      </c>
      <c r="E382" s="26">
        <v>48458</v>
      </c>
      <c r="F382" s="26">
        <f t="shared" si="355"/>
        <v>48487</v>
      </c>
      <c r="G382" s="19">
        <f t="shared" si="356"/>
        <v>4</v>
      </c>
      <c r="H382" s="26">
        <f t="shared" si="357"/>
        <v>48487</v>
      </c>
      <c r="I382" s="26" t="str">
        <f t="shared" si="358"/>
        <v>Não</v>
      </c>
      <c r="J382" s="26">
        <f t="shared" si="359"/>
        <v>48487</v>
      </c>
      <c r="K382" s="26" t="str">
        <f t="shared" si="358"/>
        <v>Não</v>
      </c>
      <c r="L382" s="26">
        <f t="shared" si="360"/>
        <v>48487</v>
      </c>
      <c r="M382" s="26" t="str">
        <f t="shared" ref="M382" si="421">IF(ISNA(VLOOKUP(L382,$A:$A,1,0)),"Não","Sim")</f>
        <v>Não</v>
      </c>
      <c r="N382" s="26">
        <f t="shared" si="362"/>
        <v>48487</v>
      </c>
    </row>
    <row r="383" spans="1:14" x14ac:dyDescent="0.25">
      <c r="A383" s="39">
        <v>48520</v>
      </c>
      <c r="B383" t="s">
        <v>99</v>
      </c>
      <c r="C383" t="s">
        <v>109</v>
      </c>
      <c r="E383" s="26">
        <v>48488</v>
      </c>
      <c r="F383" s="26">
        <f t="shared" si="355"/>
        <v>48518</v>
      </c>
      <c r="G383" s="19">
        <f t="shared" si="356"/>
        <v>7</v>
      </c>
      <c r="H383" s="26">
        <f t="shared" si="357"/>
        <v>48516</v>
      </c>
      <c r="I383" s="26" t="str">
        <f t="shared" si="358"/>
        <v>Não</v>
      </c>
      <c r="J383" s="26">
        <f t="shared" si="359"/>
        <v>48516</v>
      </c>
      <c r="K383" s="26" t="str">
        <f t="shared" si="358"/>
        <v>Não</v>
      </c>
      <c r="L383" s="26">
        <f t="shared" si="360"/>
        <v>48516</v>
      </c>
      <c r="M383" s="26" t="str">
        <f t="shared" ref="M383" si="422">IF(ISNA(VLOOKUP(L383,$A:$A,1,0)),"Não","Sim")</f>
        <v>Não</v>
      </c>
      <c r="N383" s="26">
        <f t="shared" si="362"/>
        <v>48516</v>
      </c>
    </row>
    <row r="384" spans="1:14" x14ac:dyDescent="0.25">
      <c r="A384" s="39">
        <v>48533</v>
      </c>
      <c r="B384" t="s">
        <v>96</v>
      </c>
      <c r="C384" t="s">
        <v>110</v>
      </c>
      <c r="E384" s="26">
        <v>48519</v>
      </c>
      <c r="F384" s="26">
        <f t="shared" si="355"/>
        <v>48548</v>
      </c>
      <c r="G384" s="19">
        <f t="shared" si="356"/>
        <v>2</v>
      </c>
      <c r="H384" s="26">
        <f t="shared" si="357"/>
        <v>48548</v>
      </c>
      <c r="I384" s="26" t="str">
        <f t="shared" si="358"/>
        <v>Não</v>
      </c>
      <c r="J384" s="26">
        <f t="shared" si="359"/>
        <v>48548</v>
      </c>
      <c r="K384" s="26" t="str">
        <f t="shared" si="358"/>
        <v>Não</v>
      </c>
      <c r="L384" s="26">
        <f t="shared" si="360"/>
        <v>48548</v>
      </c>
      <c r="M384" s="26" t="str">
        <f t="shared" ref="M384" si="423">IF(ISNA(VLOOKUP(L384,$A:$A,1,0)),"Não","Sim")</f>
        <v>Não</v>
      </c>
      <c r="N384" s="26">
        <f t="shared" si="362"/>
        <v>48548</v>
      </c>
    </row>
    <row r="385" spans="1:14" x14ac:dyDescent="0.25">
      <c r="A385" s="39">
        <v>48573</v>
      </c>
      <c r="B385" t="s">
        <v>102</v>
      </c>
      <c r="C385" t="s">
        <v>111</v>
      </c>
      <c r="E385" s="26">
        <v>48549</v>
      </c>
      <c r="F385" s="26">
        <f t="shared" si="355"/>
        <v>48579</v>
      </c>
      <c r="G385" s="19">
        <f t="shared" si="356"/>
        <v>5</v>
      </c>
      <c r="H385" s="26">
        <f t="shared" si="357"/>
        <v>48579</v>
      </c>
      <c r="I385" s="26" t="str">
        <f t="shared" si="358"/>
        <v>Não</v>
      </c>
      <c r="J385" s="26">
        <f t="shared" si="359"/>
        <v>48579</v>
      </c>
      <c r="K385" s="26" t="str">
        <f t="shared" si="358"/>
        <v>Não</v>
      </c>
      <c r="L385" s="26">
        <f t="shared" si="360"/>
        <v>48579</v>
      </c>
      <c r="M385" s="26" t="str">
        <f t="shared" ref="M385" si="424">IF(ISNA(VLOOKUP(L385,$A:$A,1,0)),"Não","Sim")</f>
        <v>Não</v>
      </c>
      <c r="N385" s="26">
        <f t="shared" si="362"/>
        <v>48579</v>
      </c>
    </row>
    <row r="386" spans="1:14" x14ac:dyDescent="0.25">
      <c r="A386" s="39">
        <v>48580</v>
      </c>
      <c r="B386" t="s">
        <v>102</v>
      </c>
      <c r="C386" t="s">
        <v>97</v>
      </c>
      <c r="E386" s="26">
        <v>48580</v>
      </c>
      <c r="F386" s="26">
        <f t="shared" si="355"/>
        <v>48610</v>
      </c>
      <c r="G386" s="19">
        <f t="shared" si="356"/>
        <v>1</v>
      </c>
      <c r="H386" s="26">
        <f t="shared" si="357"/>
        <v>48610</v>
      </c>
      <c r="I386" s="26" t="str">
        <f t="shared" si="358"/>
        <v>Não</v>
      </c>
      <c r="J386" s="26">
        <f t="shared" si="359"/>
        <v>48610</v>
      </c>
      <c r="K386" s="26" t="str">
        <f t="shared" si="358"/>
        <v>Não</v>
      </c>
      <c r="L386" s="26">
        <f t="shared" si="360"/>
        <v>48610</v>
      </c>
      <c r="M386" s="26" t="str">
        <f t="shared" ref="M386" si="425">IF(ISNA(VLOOKUP(L386,$A:$A,1,0)),"Não","Sim")</f>
        <v>Não</v>
      </c>
      <c r="N386" s="26">
        <f t="shared" si="362"/>
        <v>48610</v>
      </c>
    </row>
    <row r="387" spans="1:14" x14ac:dyDescent="0.25">
      <c r="A387" s="39">
        <v>48638</v>
      </c>
      <c r="B387" t="s">
        <v>96</v>
      </c>
      <c r="C387" t="s">
        <v>98</v>
      </c>
      <c r="E387" s="26">
        <v>48611</v>
      </c>
      <c r="F387" s="26">
        <f t="shared" ref="F387:F450" si="426">EOMONTH(E387,0)</f>
        <v>48638</v>
      </c>
      <c r="G387" s="19">
        <f t="shared" ref="G387:G450" si="427">WEEKDAY(F387,2)</f>
        <v>1</v>
      </c>
      <c r="H387" s="26">
        <f t="shared" ref="H387:H450" si="428">IF(G387=6,F387-1,IF(G387=7,F387-2,F387))</f>
        <v>48638</v>
      </c>
      <c r="I387" s="26" t="str">
        <f t="shared" ref="I387:K450" si="429">IF(ISNA(VLOOKUP(H387,$A:$A,1,0)),"Não","Sim")</f>
        <v>Sim</v>
      </c>
      <c r="J387" s="26">
        <f t="shared" ref="J387:J450" si="430">IF(I387="Não",H387,H387-1)</f>
        <v>48637</v>
      </c>
      <c r="K387" s="26" t="str">
        <f t="shared" si="429"/>
        <v>Não</v>
      </c>
      <c r="L387" s="26">
        <f t="shared" ref="L387:L450" si="431">IF(K387="Não",J387,J387-1)</f>
        <v>48637</v>
      </c>
      <c r="M387" s="26" t="str">
        <f t="shared" ref="M387" si="432">IF(ISNA(VLOOKUP(L387,$A:$A,1,0)),"Não","Sim")</f>
        <v>Não</v>
      </c>
      <c r="N387" s="26">
        <f t="shared" ref="N387:N450" si="433">IF(M387="Não",L387,L387-1)</f>
        <v>48637</v>
      </c>
    </row>
    <row r="388" spans="1:14" x14ac:dyDescent="0.25">
      <c r="A388" s="39">
        <v>48639</v>
      </c>
      <c r="B388" t="s">
        <v>99</v>
      </c>
      <c r="C388" t="s">
        <v>98</v>
      </c>
      <c r="E388" s="26">
        <v>48639</v>
      </c>
      <c r="F388" s="26">
        <f t="shared" si="426"/>
        <v>48669</v>
      </c>
      <c r="G388" s="19">
        <f t="shared" si="427"/>
        <v>4</v>
      </c>
      <c r="H388" s="26">
        <f t="shared" si="428"/>
        <v>48669</v>
      </c>
      <c r="I388" s="26" t="str">
        <f t="shared" si="429"/>
        <v>Não</v>
      </c>
      <c r="J388" s="26">
        <f t="shared" si="430"/>
        <v>48669</v>
      </c>
      <c r="K388" s="26" t="str">
        <f t="shared" si="429"/>
        <v>Não</v>
      </c>
      <c r="L388" s="26">
        <f t="shared" si="431"/>
        <v>48669</v>
      </c>
      <c r="M388" s="26" t="str">
        <f t="shared" ref="M388" si="434">IF(ISNA(VLOOKUP(L388,$A:$A,1,0)),"Não","Sim")</f>
        <v>Não</v>
      </c>
      <c r="N388" s="26">
        <f t="shared" si="433"/>
        <v>48669</v>
      </c>
    </row>
    <row r="389" spans="1:14" x14ac:dyDescent="0.25">
      <c r="A389" s="39">
        <v>48684</v>
      </c>
      <c r="B389" t="s">
        <v>100</v>
      </c>
      <c r="C389" t="s">
        <v>101</v>
      </c>
      <c r="E389" s="26">
        <v>48670</v>
      </c>
      <c r="F389" s="26">
        <f t="shared" si="426"/>
        <v>48699</v>
      </c>
      <c r="G389" s="19">
        <f t="shared" si="427"/>
        <v>6</v>
      </c>
      <c r="H389" s="26">
        <f t="shared" si="428"/>
        <v>48698</v>
      </c>
      <c r="I389" s="26" t="str">
        <f t="shared" si="429"/>
        <v>Não</v>
      </c>
      <c r="J389" s="26">
        <f t="shared" si="430"/>
        <v>48698</v>
      </c>
      <c r="K389" s="26" t="str">
        <f t="shared" si="429"/>
        <v>Não</v>
      </c>
      <c r="L389" s="26">
        <f t="shared" si="431"/>
        <v>48698</v>
      </c>
      <c r="M389" s="26" t="str">
        <f t="shared" ref="M389" si="435">IF(ISNA(VLOOKUP(L389,$A:$A,1,0)),"Não","Sim")</f>
        <v>Não</v>
      </c>
      <c r="N389" s="26">
        <f t="shared" si="433"/>
        <v>48698</v>
      </c>
    </row>
    <row r="390" spans="1:14" x14ac:dyDescent="0.25">
      <c r="A390" s="39">
        <v>48690</v>
      </c>
      <c r="B390" t="s">
        <v>105</v>
      </c>
      <c r="C390" t="s">
        <v>103</v>
      </c>
      <c r="E390" s="26">
        <v>48700</v>
      </c>
      <c r="F390" s="26">
        <f t="shared" si="426"/>
        <v>48730</v>
      </c>
      <c r="G390" s="19">
        <f t="shared" si="427"/>
        <v>2</v>
      </c>
      <c r="H390" s="26">
        <f t="shared" si="428"/>
        <v>48730</v>
      </c>
      <c r="I390" s="26" t="str">
        <f t="shared" si="429"/>
        <v>Não</v>
      </c>
      <c r="J390" s="26">
        <f t="shared" si="430"/>
        <v>48730</v>
      </c>
      <c r="K390" s="26" t="str">
        <f t="shared" si="429"/>
        <v>Não</v>
      </c>
      <c r="L390" s="26">
        <f t="shared" si="431"/>
        <v>48730</v>
      </c>
      <c r="M390" s="26" t="str">
        <f t="shared" ref="M390" si="436">IF(ISNA(VLOOKUP(L390,$A:$A,1,0)),"Não","Sim")</f>
        <v>Não</v>
      </c>
      <c r="N390" s="26">
        <f t="shared" si="433"/>
        <v>48730</v>
      </c>
    </row>
    <row r="391" spans="1:14" x14ac:dyDescent="0.25">
      <c r="A391" s="39">
        <v>48700</v>
      </c>
      <c r="B391" t="s">
        <v>112</v>
      </c>
      <c r="C391" t="s">
        <v>104</v>
      </c>
      <c r="E391" s="26">
        <v>48731</v>
      </c>
      <c r="F391" s="26">
        <f t="shared" si="426"/>
        <v>48760</v>
      </c>
      <c r="G391" s="19">
        <f t="shared" si="427"/>
        <v>4</v>
      </c>
      <c r="H391" s="26">
        <f t="shared" si="428"/>
        <v>48760</v>
      </c>
      <c r="I391" s="26" t="str">
        <f t="shared" si="429"/>
        <v>Não</v>
      </c>
      <c r="J391" s="26">
        <f t="shared" si="430"/>
        <v>48760</v>
      </c>
      <c r="K391" s="26" t="str">
        <f t="shared" si="429"/>
        <v>Não</v>
      </c>
      <c r="L391" s="26">
        <f t="shared" si="431"/>
        <v>48760</v>
      </c>
      <c r="M391" s="26" t="str">
        <f t="shared" ref="M391" si="437">IF(ISNA(VLOOKUP(L391,$A:$A,1,0)),"Não","Sim")</f>
        <v>Não</v>
      </c>
      <c r="N391" s="26">
        <f t="shared" si="433"/>
        <v>48760</v>
      </c>
    </row>
    <row r="392" spans="1:14" x14ac:dyDescent="0.25">
      <c r="A392" s="39">
        <v>48746</v>
      </c>
      <c r="B392" t="s">
        <v>105</v>
      </c>
      <c r="C392" t="s">
        <v>106</v>
      </c>
      <c r="E392" s="26">
        <v>48761</v>
      </c>
      <c r="F392" s="26">
        <f t="shared" si="426"/>
        <v>48791</v>
      </c>
      <c r="G392" s="19">
        <f t="shared" si="427"/>
        <v>7</v>
      </c>
      <c r="H392" s="26">
        <f t="shared" si="428"/>
        <v>48789</v>
      </c>
      <c r="I392" s="26" t="str">
        <f t="shared" si="429"/>
        <v>Não</v>
      </c>
      <c r="J392" s="26">
        <f t="shared" si="430"/>
        <v>48789</v>
      </c>
      <c r="K392" s="26" t="str">
        <f t="shared" si="429"/>
        <v>Não</v>
      </c>
      <c r="L392" s="26">
        <f t="shared" si="431"/>
        <v>48789</v>
      </c>
      <c r="M392" s="26" t="str">
        <f t="shared" ref="M392" si="438">IF(ISNA(VLOOKUP(L392,$A:$A,1,0)),"Não","Sim")</f>
        <v>Não</v>
      </c>
      <c r="N392" s="26">
        <f t="shared" si="433"/>
        <v>48789</v>
      </c>
    </row>
    <row r="393" spans="1:14" x14ac:dyDescent="0.25">
      <c r="A393" s="39">
        <v>48829</v>
      </c>
      <c r="B393" t="s">
        <v>113</v>
      </c>
      <c r="C393" t="s">
        <v>107</v>
      </c>
      <c r="E393" s="26">
        <v>48792</v>
      </c>
      <c r="F393" s="26">
        <f t="shared" si="426"/>
        <v>48822</v>
      </c>
      <c r="G393" s="19">
        <f t="shared" si="427"/>
        <v>3</v>
      </c>
      <c r="H393" s="26">
        <f t="shared" si="428"/>
        <v>48822</v>
      </c>
      <c r="I393" s="26" t="str">
        <f t="shared" si="429"/>
        <v>Não</v>
      </c>
      <c r="J393" s="26">
        <f t="shared" si="430"/>
        <v>48822</v>
      </c>
      <c r="K393" s="26" t="str">
        <f t="shared" si="429"/>
        <v>Não</v>
      </c>
      <c r="L393" s="26">
        <f t="shared" si="431"/>
        <v>48822</v>
      </c>
      <c r="M393" s="26" t="str">
        <f t="shared" ref="M393" si="439">IF(ISNA(VLOOKUP(L393,$A:$A,1,0)),"Não","Sim")</f>
        <v>Não</v>
      </c>
      <c r="N393" s="26">
        <f t="shared" si="433"/>
        <v>48822</v>
      </c>
    </row>
    <row r="394" spans="1:14" x14ac:dyDescent="0.25">
      <c r="A394" s="39">
        <v>48864</v>
      </c>
      <c r="B394" t="s">
        <v>113</v>
      </c>
      <c r="C394" t="s">
        <v>108</v>
      </c>
      <c r="E394" s="26">
        <v>48823</v>
      </c>
      <c r="F394" s="26">
        <f t="shared" si="426"/>
        <v>48852</v>
      </c>
      <c r="G394" s="19">
        <f t="shared" si="427"/>
        <v>5</v>
      </c>
      <c r="H394" s="26">
        <f t="shared" si="428"/>
        <v>48852</v>
      </c>
      <c r="I394" s="26" t="str">
        <f t="shared" si="429"/>
        <v>Não</v>
      </c>
      <c r="J394" s="26">
        <f t="shared" si="430"/>
        <v>48852</v>
      </c>
      <c r="K394" s="26" t="str">
        <f t="shared" si="429"/>
        <v>Não</v>
      </c>
      <c r="L394" s="26">
        <f t="shared" si="431"/>
        <v>48852</v>
      </c>
      <c r="M394" s="26" t="str">
        <f t="shared" ref="M394" si="440">IF(ISNA(VLOOKUP(L394,$A:$A,1,0)),"Não","Sim")</f>
        <v>Não</v>
      </c>
      <c r="N394" s="26">
        <f t="shared" si="433"/>
        <v>48852</v>
      </c>
    </row>
    <row r="395" spans="1:14" x14ac:dyDescent="0.25">
      <c r="A395" s="39">
        <v>48885</v>
      </c>
      <c r="B395" t="s">
        <v>113</v>
      </c>
      <c r="C395" t="s">
        <v>109</v>
      </c>
      <c r="E395" s="26">
        <v>48853</v>
      </c>
      <c r="F395" s="26">
        <f t="shared" si="426"/>
        <v>48883</v>
      </c>
      <c r="G395" s="19">
        <f t="shared" si="427"/>
        <v>1</v>
      </c>
      <c r="H395" s="26">
        <f t="shared" si="428"/>
        <v>48883</v>
      </c>
      <c r="I395" s="26" t="str">
        <f t="shared" si="429"/>
        <v>Não</v>
      </c>
      <c r="J395" s="26">
        <f t="shared" si="430"/>
        <v>48883</v>
      </c>
      <c r="K395" s="26" t="str">
        <f t="shared" si="429"/>
        <v>Não</v>
      </c>
      <c r="L395" s="26">
        <f t="shared" si="431"/>
        <v>48883</v>
      </c>
      <c r="M395" s="26" t="str">
        <f t="shared" ref="M395" si="441">IF(ISNA(VLOOKUP(L395,$A:$A,1,0)),"Não","Sim")</f>
        <v>Não</v>
      </c>
      <c r="N395" s="26">
        <f t="shared" si="433"/>
        <v>48883</v>
      </c>
    </row>
    <row r="396" spans="1:14" x14ac:dyDescent="0.25">
      <c r="A396" s="39">
        <v>48898</v>
      </c>
      <c r="B396" t="s">
        <v>99</v>
      </c>
      <c r="C396" t="s">
        <v>110</v>
      </c>
      <c r="E396" s="26">
        <v>48884</v>
      </c>
      <c r="F396" s="26">
        <f t="shared" si="426"/>
        <v>48913</v>
      </c>
      <c r="G396" s="19">
        <f t="shared" si="427"/>
        <v>3</v>
      </c>
      <c r="H396" s="26">
        <f t="shared" si="428"/>
        <v>48913</v>
      </c>
      <c r="I396" s="26" t="str">
        <f t="shared" si="429"/>
        <v>Não</v>
      </c>
      <c r="J396" s="26">
        <f t="shared" si="430"/>
        <v>48913</v>
      </c>
      <c r="K396" s="26" t="str">
        <f t="shared" si="429"/>
        <v>Não</v>
      </c>
      <c r="L396" s="26">
        <f t="shared" si="431"/>
        <v>48913</v>
      </c>
      <c r="M396" s="26" t="str">
        <f t="shared" ref="M396" si="442">IF(ISNA(VLOOKUP(L396,$A:$A,1,0)),"Não","Sim")</f>
        <v>Não</v>
      </c>
      <c r="N396" s="26">
        <f t="shared" si="433"/>
        <v>48913</v>
      </c>
    </row>
    <row r="397" spans="1:14" x14ac:dyDescent="0.25">
      <c r="A397" s="39">
        <v>48938</v>
      </c>
      <c r="B397" t="s">
        <v>112</v>
      </c>
      <c r="C397" t="s">
        <v>111</v>
      </c>
      <c r="E397" s="26">
        <v>48914</v>
      </c>
      <c r="F397" s="26">
        <f t="shared" si="426"/>
        <v>48944</v>
      </c>
      <c r="G397" s="19">
        <f t="shared" si="427"/>
        <v>6</v>
      </c>
      <c r="H397" s="26">
        <f t="shared" si="428"/>
        <v>48943</v>
      </c>
      <c r="I397" s="26" t="str">
        <f t="shared" si="429"/>
        <v>Não</v>
      </c>
      <c r="J397" s="26">
        <f t="shared" si="430"/>
        <v>48943</v>
      </c>
      <c r="K397" s="26" t="str">
        <f t="shared" si="429"/>
        <v>Não</v>
      </c>
      <c r="L397" s="26">
        <f t="shared" si="431"/>
        <v>48943</v>
      </c>
      <c r="M397" s="26" t="str">
        <f t="shared" ref="M397" si="443">IF(ISNA(VLOOKUP(L397,$A:$A,1,0)),"Não","Sim")</f>
        <v>Não</v>
      </c>
      <c r="N397" s="26">
        <f t="shared" si="433"/>
        <v>48943</v>
      </c>
    </row>
    <row r="398" spans="1:14" x14ac:dyDescent="0.25">
      <c r="A398" s="39">
        <v>48945</v>
      </c>
      <c r="B398" t="s">
        <v>112</v>
      </c>
      <c r="C398" t="s">
        <v>97</v>
      </c>
      <c r="E398" s="26">
        <v>48945</v>
      </c>
      <c r="F398" s="26">
        <f t="shared" si="426"/>
        <v>48975</v>
      </c>
      <c r="G398" s="19">
        <f t="shared" si="427"/>
        <v>2</v>
      </c>
      <c r="H398" s="26">
        <f t="shared" si="428"/>
        <v>48975</v>
      </c>
      <c r="I398" s="26" t="str">
        <f t="shared" si="429"/>
        <v>Não</v>
      </c>
      <c r="J398" s="26">
        <f t="shared" si="430"/>
        <v>48975</v>
      </c>
      <c r="K398" s="26" t="str">
        <f t="shared" si="429"/>
        <v>Não</v>
      </c>
      <c r="L398" s="26">
        <f t="shared" si="431"/>
        <v>48975</v>
      </c>
      <c r="M398" s="26" t="str">
        <f t="shared" ref="M398" si="444">IF(ISNA(VLOOKUP(L398,$A:$A,1,0)),"Não","Sim")</f>
        <v>Não</v>
      </c>
      <c r="N398" s="26">
        <f t="shared" si="433"/>
        <v>48975</v>
      </c>
    </row>
    <row r="399" spans="1:14" x14ac:dyDescent="0.25">
      <c r="A399" s="39">
        <v>48995</v>
      </c>
      <c r="B399" t="s">
        <v>96</v>
      </c>
      <c r="C399" t="s">
        <v>98</v>
      </c>
      <c r="E399" s="26">
        <v>48976</v>
      </c>
      <c r="F399" s="26">
        <f t="shared" si="426"/>
        <v>49003</v>
      </c>
      <c r="G399" s="19">
        <f t="shared" si="427"/>
        <v>2</v>
      </c>
      <c r="H399" s="26">
        <f t="shared" si="428"/>
        <v>49003</v>
      </c>
      <c r="I399" s="26" t="str">
        <f t="shared" si="429"/>
        <v>Não</v>
      </c>
      <c r="J399" s="26">
        <f t="shared" si="430"/>
        <v>49003</v>
      </c>
      <c r="K399" s="26" t="str">
        <f t="shared" si="429"/>
        <v>Não</v>
      </c>
      <c r="L399" s="26">
        <f t="shared" si="431"/>
        <v>49003</v>
      </c>
      <c r="M399" s="26" t="str">
        <f t="shared" ref="M399" si="445">IF(ISNA(VLOOKUP(L399,$A:$A,1,0)),"Não","Sim")</f>
        <v>Não</v>
      </c>
      <c r="N399" s="26">
        <f t="shared" si="433"/>
        <v>49003</v>
      </c>
    </row>
    <row r="400" spans="1:14" x14ac:dyDescent="0.25">
      <c r="A400" s="39">
        <v>48996</v>
      </c>
      <c r="B400" t="s">
        <v>99</v>
      </c>
      <c r="C400" t="s">
        <v>98</v>
      </c>
      <c r="E400" s="26">
        <v>49004</v>
      </c>
      <c r="F400" s="26">
        <f t="shared" si="426"/>
        <v>49034</v>
      </c>
      <c r="G400" s="19">
        <f t="shared" si="427"/>
        <v>5</v>
      </c>
      <c r="H400" s="26">
        <f t="shared" si="428"/>
        <v>49034</v>
      </c>
      <c r="I400" s="26" t="str">
        <f t="shared" si="429"/>
        <v>Não</v>
      </c>
      <c r="J400" s="26">
        <f t="shared" si="430"/>
        <v>49034</v>
      </c>
      <c r="K400" s="26" t="str">
        <f t="shared" si="429"/>
        <v>Não</v>
      </c>
      <c r="L400" s="26">
        <f t="shared" si="431"/>
        <v>49034</v>
      </c>
      <c r="M400" s="26" t="str">
        <f t="shared" ref="M400" si="446">IF(ISNA(VLOOKUP(L400,$A:$A,1,0)),"Não","Sim")</f>
        <v>Não</v>
      </c>
      <c r="N400" s="26">
        <f t="shared" si="433"/>
        <v>49034</v>
      </c>
    </row>
    <row r="401" spans="1:14" x14ac:dyDescent="0.25">
      <c r="A401" s="39">
        <v>49041</v>
      </c>
      <c r="B401" t="s">
        <v>100</v>
      </c>
      <c r="C401" t="s">
        <v>101</v>
      </c>
      <c r="E401" s="26">
        <v>49035</v>
      </c>
      <c r="F401" s="26">
        <f t="shared" si="426"/>
        <v>49064</v>
      </c>
      <c r="G401" s="19">
        <f t="shared" si="427"/>
        <v>7</v>
      </c>
      <c r="H401" s="26">
        <f t="shared" si="428"/>
        <v>49062</v>
      </c>
      <c r="I401" s="26" t="str">
        <f t="shared" si="429"/>
        <v>Não</v>
      </c>
      <c r="J401" s="26">
        <f t="shared" si="430"/>
        <v>49062</v>
      </c>
      <c r="K401" s="26" t="str">
        <f t="shared" si="429"/>
        <v>Não</v>
      </c>
      <c r="L401" s="26">
        <f t="shared" si="431"/>
        <v>49062</v>
      </c>
      <c r="M401" s="26" t="str">
        <f t="shared" ref="M401" si="447">IF(ISNA(VLOOKUP(L401,$A:$A,1,0)),"Não","Sim")</f>
        <v>Não</v>
      </c>
      <c r="N401" s="26">
        <f t="shared" si="433"/>
        <v>49062</v>
      </c>
    </row>
    <row r="402" spans="1:14" x14ac:dyDescent="0.25">
      <c r="A402" s="39">
        <v>49055</v>
      </c>
      <c r="B402" t="s">
        <v>100</v>
      </c>
      <c r="C402" t="s">
        <v>103</v>
      </c>
      <c r="E402" s="26">
        <v>49065</v>
      </c>
      <c r="F402" s="26">
        <f t="shared" si="426"/>
        <v>49095</v>
      </c>
      <c r="G402" s="19">
        <f t="shared" si="427"/>
        <v>3</v>
      </c>
      <c r="H402" s="26">
        <f t="shared" si="428"/>
        <v>49095</v>
      </c>
      <c r="I402" s="26" t="str">
        <f t="shared" si="429"/>
        <v>Não</v>
      </c>
      <c r="J402" s="26">
        <f t="shared" si="430"/>
        <v>49095</v>
      </c>
      <c r="K402" s="26" t="str">
        <f t="shared" si="429"/>
        <v>Não</v>
      </c>
      <c r="L402" s="26">
        <f t="shared" si="431"/>
        <v>49095</v>
      </c>
      <c r="M402" s="26" t="str">
        <f t="shared" ref="M402" si="448">IF(ISNA(VLOOKUP(L402,$A:$A,1,0)),"Não","Sim")</f>
        <v>Não</v>
      </c>
      <c r="N402" s="26">
        <f t="shared" si="433"/>
        <v>49095</v>
      </c>
    </row>
    <row r="403" spans="1:14" x14ac:dyDescent="0.25">
      <c r="A403" s="39">
        <v>49065</v>
      </c>
      <c r="B403" t="s">
        <v>96</v>
      </c>
      <c r="C403" t="s">
        <v>104</v>
      </c>
      <c r="E403" s="26">
        <v>49096</v>
      </c>
      <c r="F403" s="26">
        <f t="shared" si="426"/>
        <v>49125</v>
      </c>
      <c r="G403" s="19">
        <f t="shared" si="427"/>
        <v>5</v>
      </c>
      <c r="H403" s="26">
        <f t="shared" si="428"/>
        <v>49125</v>
      </c>
      <c r="I403" s="26" t="str">
        <f t="shared" si="429"/>
        <v>Não</v>
      </c>
      <c r="J403" s="26">
        <f t="shared" si="430"/>
        <v>49125</v>
      </c>
      <c r="K403" s="26" t="str">
        <f t="shared" si="429"/>
        <v>Não</v>
      </c>
      <c r="L403" s="26">
        <f t="shared" si="431"/>
        <v>49125</v>
      </c>
      <c r="M403" s="26" t="str">
        <f t="shared" ref="M403" si="449">IF(ISNA(VLOOKUP(L403,$A:$A,1,0)),"Não","Sim")</f>
        <v>Não</v>
      </c>
      <c r="N403" s="26">
        <f t="shared" si="433"/>
        <v>49125</v>
      </c>
    </row>
    <row r="404" spans="1:14" x14ac:dyDescent="0.25">
      <c r="A404" s="39">
        <v>49103</v>
      </c>
      <c r="B404" t="s">
        <v>105</v>
      </c>
      <c r="C404" t="s">
        <v>106</v>
      </c>
      <c r="E404" s="26">
        <v>49126</v>
      </c>
      <c r="F404" s="26">
        <f t="shared" si="426"/>
        <v>49156</v>
      </c>
      <c r="G404" s="19">
        <f t="shared" si="427"/>
        <v>1</v>
      </c>
      <c r="H404" s="26">
        <f t="shared" si="428"/>
        <v>49156</v>
      </c>
      <c r="I404" s="26" t="str">
        <f t="shared" si="429"/>
        <v>Não</v>
      </c>
      <c r="J404" s="26">
        <f t="shared" si="430"/>
        <v>49156</v>
      </c>
      <c r="K404" s="26" t="str">
        <f t="shared" si="429"/>
        <v>Não</v>
      </c>
      <c r="L404" s="26">
        <f t="shared" si="431"/>
        <v>49156</v>
      </c>
      <c r="M404" s="26" t="str">
        <f t="shared" ref="M404" si="450">IF(ISNA(VLOOKUP(L404,$A:$A,1,0)),"Não","Sim")</f>
        <v>Não</v>
      </c>
      <c r="N404" s="26">
        <f t="shared" si="433"/>
        <v>49156</v>
      </c>
    </row>
    <row r="405" spans="1:14" x14ac:dyDescent="0.25">
      <c r="A405" s="39">
        <v>49194</v>
      </c>
      <c r="B405" t="s">
        <v>105</v>
      </c>
      <c r="C405" t="s">
        <v>107</v>
      </c>
      <c r="E405" s="26">
        <v>49157</v>
      </c>
      <c r="F405" s="26">
        <f t="shared" si="426"/>
        <v>49187</v>
      </c>
      <c r="G405" s="19">
        <f t="shared" si="427"/>
        <v>4</v>
      </c>
      <c r="H405" s="26">
        <f t="shared" si="428"/>
        <v>49187</v>
      </c>
      <c r="I405" s="26" t="str">
        <f t="shared" si="429"/>
        <v>Não</v>
      </c>
      <c r="J405" s="26">
        <f t="shared" si="430"/>
        <v>49187</v>
      </c>
      <c r="K405" s="26" t="str">
        <f t="shared" si="429"/>
        <v>Não</v>
      </c>
      <c r="L405" s="26">
        <f t="shared" si="431"/>
        <v>49187</v>
      </c>
      <c r="M405" s="26" t="str">
        <f t="shared" ref="M405" si="451">IF(ISNA(VLOOKUP(L405,$A:$A,1,0)),"Não","Sim")</f>
        <v>Não</v>
      </c>
      <c r="N405" s="26">
        <f t="shared" si="433"/>
        <v>49187</v>
      </c>
    </row>
    <row r="406" spans="1:14" x14ac:dyDescent="0.25">
      <c r="A406" s="39">
        <v>49229</v>
      </c>
      <c r="B406" t="s">
        <v>105</v>
      </c>
      <c r="C406" t="s">
        <v>108</v>
      </c>
      <c r="E406" s="26">
        <v>49188</v>
      </c>
      <c r="F406" s="26">
        <f t="shared" si="426"/>
        <v>49217</v>
      </c>
      <c r="G406" s="19">
        <f t="shared" si="427"/>
        <v>6</v>
      </c>
      <c r="H406" s="26">
        <f t="shared" si="428"/>
        <v>49216</v>
      </c>
      <c r="I406" s="26" t="str">
        <f t="shared" si="429"/>
        <v>Não</v>
      </c>
      <c r="J406" s="26">
        <f t="shared" si="430"/>
        <v>49216</v>
      </c>
      <c r="K406" s="26" t="str">
        <f t="shared" si="429"/>
        <v>Não</v>
      </c>
      <c r="L406" s="26">
        <f t="shared" si="431"/>
        <v>49216</v>
      </c>
      <c r="M406" s="26" t="str">
        <f t="shared" ref="M406" si="452">IF(ISNA(VLOOKUP(L406,$A:$A,1,0)),"Não","Sim")</f>
        <v>Não</v>
      </c>
      <c r="N406" s="26">
        <f t="shared" si="433"/>
        <v>49216</v>
      </c>
    </row>
    <row r="407" spans="1:14" x14ac:dyDescent="0.25">
      <c r="A407" s="39">
        <v>49250</v>
      </c>
      <c r="B407" t="s">
        <v>105</v>
      </c>
      <c r="C407" t="s">
        <v>109</v>
      </c>
      <c r="E407" s="26">
        <v>49218</v>
      </c>
      <c r="F407" s="26">
        <f t="shared" si="426"/>
        <v>49248</v>
      </c>
      <c r="G407" s="19">
        <f t="shared" si="427"/>
        <v>2</v>
      </c>
      <c r="H407" s="26">
        <f t="shared" si="428"/>
        <v>49248</v>
      </c>
      <c r="I407" s="26" t="str">
        <f t="shared" si="429"/>
        <v>Não</v>
      </c>
      <c r="J407" s="26">
        <f t="shared" si="430"/>
        <v>49248</v>
      </c>
      <c r="K407" s="26" t="str">
        <f t="shared" si="429"/>
        <v>Não</v>
      </c>
      <c r="L407" s="26">
        <f t="shared" si="431"/>
        <v>49248</v>
      </c>
      <c r="M407" s="26" t="str">
        <f t="shared" ref="M407" si="453">IF(ISNA(VLOOKUP(L407,$A:$A,1,0)),"Não","Sim")</f>
        <v>Não</v>
      </c>
      <c r="N407" s="26">
        <f t="shared" si="433"/>
        <v>49248</v>
      </c>
    </row>
    <row r="408" spans="1:14" x14ac:dyDescent="0.25">
      <c r="A408" s="39">
        <v>49263</v>
      </c>
      <c r="B408" t="s">
        <v>113</v>
      </c>
      <c r="C408" t="s">
        <v>110</v>
      </c>
      <c r="E408" s="26">
        <v>49249</v>
      </c>
      <c r="F408" s="26">
        <f t="shared" si="426"/>
        <v>49278</v>
      </c>
      <c r="G408" s="19">
        <f t="shared" si="427"/>
        <v>4</v>
      </c>
      <c r="H408" s="26">
        <f t="shared" si="428"/>
        <v>49278</v>
      </c>
      <c r="I408" s="26" t="str">
        <f t="shared" si="429"/>
        <v>Não</v>
      </c>
      <c r="J408" s="26">
        <f t="shared" si="430"/>
        <v>49278</v>
      </c>
      <c r="K408" s="26" t="str">
        <f t="shared" si="429"/>
        <v>Não</v>
      </c>
      <c r="L408" s="26">
        <f t="shared" si="431"/>
        <v>49278</v>
      </c>
      <c r="M408" s="26" t="str">
        <f t="shared" ref="M408" si="454">IF(ISNA(VLOOKUP(L408,$A:$A,1,0)),"Não","Sim")</f>
        <v>Não</v>
      </c>
      <c r="N408" s="26">
        <f t="shared" si="433"/>
        <v>49278</v>
      </c>
    </row>
    <row r="409" spans="1:14" x14ac:dyDescent="0.25">
      <c r="A409" s="39">
        <v>49303</v>
      </c>
      <c r="B409" t="s">
        <v>96</v>
      </c>
      <c r="C409" t="s">
        <v>111</v>
      </c>
      <c r="E409" s="26">
        <v>49279</v>
      </c>
      <c r="F409" s="26">
        <f t="shared" si="426"/>
        <v>49309</v>
      </c>
      <c r="G409" s="19">
        <f t="shared" si="427"/>
        <v>7</v>
      </c>
      <c r="H409" s="26">
        <f t="shared" si="428"/>
        <v>49307</v>
      </c>
      <c r="I409" s="26" t="str">
        <f t="shared" si="429"/>
        <v>Não</v>
      </c>
      <c r="J409" s="26">
        <f t="shared" si="430"/>
        <v>49307</v>
      </c>
      <c r="K409" s="26" t="str">
        <f t="shared" si="429"/>
        <v>Não</v>
      </c>
      <c r="L409" s="26">
        <f t="shared" si="431"/>
        <v>49307</v>
      </c>
      <c r="M409" s="26" t="str">
        <f t="shared" ref="M409" si="455">IF(ISNA(VLOOKUP(L409,$A:$A,1,0)),"Não","Sim")</f>
        <v>Não</v>
      </c>
      <c r="N409" s="26">
        <f t="shared" si="433"/>
        <v>49307</v>
      </c>
    </row>
    <row r="410" spans="1:14" x14ac:dyDescent="0.25">
      <c r="A410" s="39">
        <v>49310</v>
      </c>
      <c r="B410" t="s">
        <v>96</v>
      </c>
      <c r="C410" t="s">
        <v>97</v>
      </c>
      <c r="E410" s="26">
        <v>49310</v>
      </c>
      <c r="F410" s="26">
        <f t="shared" si="426"/>
        <v>49340</v>
      </c>
      <c r="G410" s="19">
        <f t="shared" si="427"/>
        <v>3</v>
      </c>
      <c r="H410" s="26">
        <f t="shared" si="428"/>
        <v>49340</v>
      </c>
      <c r="I410" s="26" t="str">
        <f t="shared" si="429"/>
        <v>Não</v>
      </c>
      <c r="J410" s="26">
        <f t="shared" si="430"/>
        <v>49340</v>
      </c>
      <c r="K410" s="26" t="str">
        <f t="shared" si="429"/>
        <v>Não</v>
      </c>
      <c r="L410" s="26">
        <f t="shared" si="431"/>
        <v>49340</v>
      </c>
      <c r="M410" s="26" t="str">
        <f t="shared" ref="M410" si="456">IF(ISNA(VLOOKUP(L410,$A:$A,1,0)),"Não","Sim")</f>
        <v>Não</v>
      </c>
      <c r="N410" s="26">
        <f t="shared" si="433"/>
        <v>49340</v>
      </c>
    </row>
    <row r="411" spans="1:14" x14ac:dyDescent="0.25">
      <c r="A411" s="39">
        <v>49345</v>
      </c>
      <c r="B411" t="s">
        <v>96</v>
      </c>
      <c r="C411" t="s">
        <v>98</v>
      </c>
      <c r="E411" s="26">
        <v>49341</v>
      </c>
      <c r="F411" s="26">
        <f t="shared" si="426"/>
        <v>49368</v>
      </c>
      <c r="G411" s="19">
        <f t="shared" si="427"/>
        <v>3</v>
      </c>
      <c r="H411" s="26">
        <f t="shared" si="428"/>
        <v>49368</v>
      </c>
      <c r="I411" s="26" t="str">
        <f t="shared" si="429"/>
        <v>Não</v>
      </c>
      <c r="J411" s="26">
        <f t="shared" si="430"/>
        <v>49368</v>
      </c>
      <c r="K411" s="26" t="str">
        <f t="shared" si="429"/>
        <v>Não</v>
      </c>
      <c r="L411" s="26">
        <f t="shared" si="431"/>
        <v>49368</v>
      </c>
      <c r="M411" s="26" t="str">
        <f t="shared" ref="M411" si="457">IF(ISNA(VLOOKUP(L411,$A:$A,1,0)),"Não","Sim")</f>
        <v>Não</v>
      </c>
      <c r="N411" s="26">
        <f t="shared" si="433"/>
        <v>49368</v>
      </c>
    </row>
    <row r="412" spans="1:14" x14ac:dyDescent="0.25">
      <c r="A412" s="39">
        <v>49346</v>
      </c>
      <c r="B412" t="s">
        <v>99</v>
      </c>
      <c r="C412" t="s">
        <v>98</v>
      </c>
      <c r="E412" s="26">
        <v>49369</v>
      </c>
      <c r="F412" s="26">
        <f t="shared" si="426"/>
        <v>49399</v>
      </c>
      <c r="G412" s="19">
        <f t="shared" si="427"/>
        <v>6</v>
      </c>
      <c r="H412" s="26">
        <f t="shared" si="428"/>
        <v>49398</v>
      </c>
      <c r="I412" s="26" t="str">
        <f t="shared" si="429"/>
        <v>Não</v>
      </c>
      <c r="J412" s="26">
        <f t="shared" si="430"/>
        <v>49398</v>
      </c>
      <c r="K412" s="26" t="str">
        <f t="shared" si="429"/>
        <v>Não</v>
      </c>
      <c r="L412" s="26">
        <f t="shared" si="431"/>
        <v>49398</v>
      </c>
      <c r="M412" s="26" t="str">
        <f t="shared" ref="M412" si="458">IF(ISNA(VLOOKUP(L412,$A:$A,1,0)),"Não","Sim")</f>
        <v>Não</v>
      </c>
      <c r="N412" s="26">
        <f t="shared" si="433"/>
        <v>49398</v>
      </c>
    </row>
    <row r="413" spans="1:14" x14ac:dyDescent="0.25">
      <c r="A413" s="39">
        <v>49391</v>
      </c>
      <c r="B413" t="s">
        <v>100</v>
      </c>
      <c r="C413" t="s">
        <v>101</v>
      </c>
      <c r="E413" s="26">
        <v>49400</v>
      </c>
      <c r="F413" s="26">
        <f t="shared" si="426"/>
        <v>49429</v>
      </c>
      <c r="G413" s="19">
        <f t="shared" si="427"/>
        <v>1</v>
      </c>
      <c r="H413" s="26">
        <f t="shared" si="428"/>
        <v>49429</v>
      </c>
      <c r="I413" s="26" t="str">
        <f t="shared" si="429"/>
        <v>Não</v>
      </c>
      <c r="J413" s="26">
        <f t="shared" si="430"/>
        <v>49429</v>
      </c>
      <c r="K413" s="26" t="str">
        <f t="shared" si="429"/>
        <v>Não</v>
      </c>
      <c r="L413" s="26">
        <f t="shared" si="431"/>
        <v>49429</v>
      </c>
      <c r="M413" s="26" t="str">
        <f t="shared" ref="M413" si="459">IF(ISNA(VLOOKUP(L413,$A:$A,1,0)),"Não","Sim")</f>
        <v>Não</v>
      </c>
      <c r="N413" s="26">
        <f t="shared" si="433"/>
        <v>49429</v>
      </c>
    </row>
    <row r="414" spans="1:14" x14ac:dyDescent="0.25">
      <c r="A414" s="39">
        <v>49420</v>
      </c>
      <c r="B414" t="s">
        <v>102</v>
      </c>
      <c r="C414" t="s">
        <v>103</v>
      </c>
      <c r="E414" s="26">
        <v>49430</v>
      </c>
      <c r="F414" s="26">
        <f t="shared" si="426"/>
        <v>49460</v>
      </c>
      <c r="G414" s="19">
        <f t="shared" si="427"/>
        <v>4</v>
      </c>
      <c r="H414" s="26">
        <f t="shared" si="428"/>
        <v>49460</v>
      </c>
      <c r="I414" s="26" t="str">
        <f t="shared" si="429"/>
        <v>Não</v>
      </c>
      <c r="J414" s="26">
        <f t="shared" si="430"/>
        <v>49460</v>
      </c>
      <c r="K414" s="26" t="str">
        <f t="shared" si="429"/>
        <v>Não</v>
      </c>
      <c r="L414" s="26">
        <f t="shared" si="431"/>
        <v>49460</v>
      </c>
      <c r="M414" s="26" t="str">
        <f t="shared" ref="M414" si="460">IF(ISNA(VLOOKUP(L414,$A:$A,1,0)),"Não","Sim")</f>
        <v>Não</v>
      </c>
      <c r="N414" s="26">
        <f t="shared" si="433"/>
        <v>49460</v>
      </c>
    </row>
    <row r="415" spans="1:14" x14ac:dyDescent="0.25">
      <c r="A415" s="39">
        <v>49430</v>
      </c>
      <c r="B415" t="s">
        <v>99</v>
      </c>
      <c r="C415" t="s">
        <v>104</v>
      </c>
      <c r="E415" s="26">
        <v>49461</v>
      </c>
      <c r="F415" s="26">
        <f t="shared" si="426"/>
        <v>49490</v>
      </c>
      <c r="G415" s="19">
        <f t="shared" si="427"/>
        <v>6</v>
      </c>
      <c r="H415" s="26">
        <f t="shared" si="428"/>
        <v>49489</v>
      </c>
      <c r="I415" s="26" t="str">
        <f t="shared" si="429"/>
        <v>Não</v>
      </c>
      <c r="J415" s="26">
        <f t="shared" si="430"/>
        <v>49489</v>
      </c>
      <c r="K415" s="26" t="str">
        <f t="shared" si="429"/>
        <v>Não</v>
      </c>
      <c r="L415" s="26">
        <f t="shared" si="431"/>
        <v>49489</v>
      </c>
      <c r="M415" s="26" t="str">
        <f t="shared" ref="M415" si="461">IF(ISNA(VLOOKUP(L415,$A:$A,1,0)),"Não","Sim")</f>
        <v>Não</v>
      </c>
      <c r="N415" s="26">
        <f t="shared" si="433"/>
        <v>49489</v>
      </c>
    </row>
    <row r="416" spans="1:14" x14ac:dyDescent="0.25">
      <c r="A416" s="39">
        <v>49453</v>
      </c>
      <c r="B416" t="s">
        <v>105</v>
      </c>
      <c r="C416" t="s">
        <v>106</v>
      </c>
      <c r="E416" s="26">
        <v>49491</v>
      </c>
      <c r="F416" s="26">
        <f t="shared" si="426"/>
        <v>49521</v>
      </c>
      <c r="G416" s="19">
        <f t="shared" si="427"/>
        <v>2</v>
      </c>
      <c r="H416" s="26">
        <f t="shared" si="428"/>
        <v>49521</v>
      </c>
      <c r="I416" s="26" t="str">
        <f t="shared" si="429"/>
        <v>Não</v>
      </c>
      <c r="J416" s="26">
        <f t="shared" si="430"/>
        <v>49521</v>
      </c>
      <c r="K416" s="26" t="str">
        <f t="shared" si="429"/>
        <v>Não</v>
      </c>
      <c r="L416" s="26">
        <f t="shared" si="431"/>
        <v>49521</v>
      </c>
      <c r="M416" s="26" t="str">
        <f t="shared" ref="M416" si="462">IF(ISNA(VLOOKUP(L416,$A:$A,1,0)),"Não","Sim")</f>
        <v>Não</v>
      </c>
      <c r="N416" s="26">
        <f t="shared" si="433"/>
        <v>49521</v>
      </c>
    </row>
    <row r="417" spans="1:14" x14ac:dyDescent="0.25">
      <c r="A417" s="39">
        <v>49559</v>
      </c>
      <c r="B417" t="s">
        <v>100</v>
      </c>
      <c r="C417" t="s">
        <v>107</v>
      </c>
      <c r="E417" s="26">
        <v>49522</v>
      </c>
      <c r="F417" s="26">
        <f t="shared" si="426"/>
        <v>49552</v>
      </c>
      <c r="G417" s="19">
        <f t="shared" si="427"/>
        <v>5</v>
      </c>
      <c r="H417" s="26">
        <f t="shared" si="428"/>
        <v>49552</v>
      </c>
      <c r="I417" s="26" t="str">
        <f t="shared" si="429"/>
        <v>Não</v>
      </c>
      <c r="J417" s="26">
        <f t="shared" si="430"/>
        <v>49552</v>
      </c>
      <c r="K417" s="26" t="str">
        <f t="shared" si="429"/>
        <v>Não</v>
      </c>
      <c r="L417" s="26">
        <f t="shared" si="431"/>
        <v>49552</v>
      </c>
      <c r="M417" s="26" t="str">
        <f t="shared" ref="M417" si="463">IF(ISNA(VLOOKUP(L417,$A:$A,1,0)),"Não","Sim")</f>
        <v>Não</v>
      </c>
      <c r="N417" s="26">
        <f t="shared" si="433"/>
        <v>49552</v>
      </c>
    </row>
    <row r="418" spans="1:14" x14ac:dyDescent="0.25">
      <c r="A418" s="39">
        <v>49594</v>
      </c>
      <c r="B418" t="s">
        <v>100</v>
      </c>
      <c r="C418" t="s">
        <v>108</v>
      </c>
      <c r="E418" s="26">
        <v>49553</v>
      </c>
      <c r="F418" s="26">
        <f t="shared" si="426"/>
        <v>49582</v>
      </c>
      <c r="G418" s="19">
        <f t="shared" si="427"/>
        <v>7</v>
      </c>
      <c r="H418" s="26">
        <f t="shared" si="428"/>
        <v>49580</v>
      </c>
      <c r="I418" s="26" t="str">
        <f t="shared" si="429"/>
        <v>Não</v>
      </c>
      <c r="J418" s="26">
        <f t="shared" si="430"/>
        <v>49580</v>
      </c>
      <c r="K418" s="26" t="str">
        <f t="shared" si="429"/>
        <v>Não</v>
      </c>
      <c r="L418" s="26">
        <f t="shared" si="431"/>
        <v>49580</v>
      </c>
      <c r="M418" s="26" t="str">
        <f t="shared" ref="M418" si="464">IF(ISNA(VLOOKUP(L418,$A:$A,1,0)),"Não","Sim")</f>
        <v>Não</v>
      </c>
      <c r="N418" s="26">
        <f t="shared" si="433"/>
        <v>49580</v>
      </c>
    </row>
    <row r="419" spans="1:14" x14ac:dyDescent="0.25">
      <c r="A419" s="39">
        <v>49615</v>
      </c>
      <c r="B419" t="s">
        <v>100</v>
      </c>
      <c r="C419" t="s">
        <v>109</v>
      </c>
      <c r="E419" s="26">
        <v>49583</v>
      </c>
      <c r="F419" s="26">
        <f t="shared" si="426"/>
        <v>49613</v>
      </c>
      <c r="G419" s="19">
        <f t="shared" si="427"/>
        <v>3</v>
      </c>
      <c r="H419" s="26">
        <f t="shared" si="428"/>
        <v>49613</v>
      </c>
      <c r="I419" s="26" t="str">
        <f t="shared" si="429"/>
        <v>Não</v>
      </c>
      <c r="J419" s="26">
        <f t="shared" si="430"/>
        <v>49613</v>
      </c>
      <c r="K419" s="26" t="str">
        <f t="shared" si="429"/>
        <v>Não</v>
      </c>
      <c r="L419" s="26">
        <f t="shared" si="431"/>
        <v>49613</v>
      </c>
      <c r="M419" s="26" t="str">
        <f t="shared" ref="M419" si="465">IF(ISNA(VLOOKUP(L419,$A:$A,1,0)),"Não","Sim")</f>
        <v>Não</v>
      </c>
      <c r="N419" s="26">
        <f t="shared" si="433"/>
        <v>49613</v>
      </c>
    </row>
    <row r="420" spans="1:14" x14ac:dyDescent="0.25">
      <c r="A420" s="39">
        <v>49628</v>
      </c>
      <c r="B420" t="s">
        <v>105</v>
      </c>
      <c r="C420" t="s">
        <v>110</v>
      </c>
      <c r="E420" s="26">
        <v>49614</v>
      </c>
      <c r="F420" s="26">
        <f t="shared" si="426"/>
        <v>49643</v>
      </c>
      <c r="G420" s="19">
        <f t="shared" si="427"/>
        <v>5</v>
      </c>
      <c r="H420" s="26">
        <f t="shared" si="428"/>
        <v>49643</v>
      </c>
      <c r="I420" s="26" t="str">
        <f t="shared" si="429"/>
        <v>Não</v>
      </c>
      <c r="J420" s="26">
        <f t="shared" si="430"/>
        <v>49643</v>
      </c>
      <c r="K420" s="26" t="str">
        <f t="shared" si="429"/>
        <v>Não</v>
      </c>
      <c r="L420" s="26">
        <f t="shared" si="431"/>
        <v>49643</v>
      </c>
      <c r="M420" s="26" t="str">
        <f t="shared" ref="M420" si="466">IF(ISNA(VLOOKUP(L420,$A:$A,1,0)),"Não","Sim")</f>
        <v>Não</v>
      </c>
      <c r="N420" s="26">
        <f t="shared" si="433"/>
        <v>49643</v>
      </c>
    </row>
    <row r="421" spans="1:14" x14ac:dyDescent="0.25">
      <c r="A421" s="39">
        <v>49668</v>
      </c>
      <c r="B421" t="s">
        <v>99</v>
      </c>
      <c r="C421" t="s">
        <v>111</v>
      </c>
      <c r="E421" s="26">
        <v>49644</v>
      </c>
      <c r="F421" s="26">
        <f t="shared" si="426"/>
        <v>49674</v>
      </c>
      <c r="G421" s="19">
        <f t="shared" si="427"/>
        <v>1</v>
      </c>
      <c r="H421" s="26">
        <f t="shared" si="428"/>
        <v>49674</v>
      </c>
      <c r="I421" s="26" t="str">
        <f t="shared" si="429"/>
        <v>Não</v>
      </c>
      <c r="J421" s="26">
        <f t="shared" si="430"/>
        <v>49674</v>
      </c>
      <c r="K421" s="26" t="str">
        <f t="shared" si="429"/>
        <v>Não</v>
      </c>
      <c r="L421" s="26">
        <f t="shared" si="431"/>
        <v>49674</v>
      </c>
      <c r="M421" s="26" t="str">
        <f t="shared" ref="M421" si="467">IF(ISNA(VLOOKUP(L421,$A:$A,1,0)),"Não","Sim")</f>
        <v>Não</v>
      </c>
      <c r="N421" s="26">
        <f t="shared" si="433"/>
        <v>49674</v>
      </c>
    </row>
    <row r="422" spans="1:14" x14ac:dyDescent="0.25">
      <c r="A422" s="39">
        <v>49675</v>
      </c>
      <c r="B422" t="s">
        <v>99</v>
      </c>
      <c r="C422" t="s">
        <v>97</v>
      </c>
      <c r="E422" s="26">
        <v>49675</v>
      </c>
      <c r="F422" s="26">
        <f t="shared" si="426"/>
        <v>49705</v>
      </c>
      <c r="G422" s="19">
        <f t="shared" si="427"/>
        <v>4</v>
      </c>
      <c r="H422" s="26">
        <f t="shared" si="428"/>
        <v>49705</v>
      </c>
      <c r="I422" s="26" t="str">
        <f t="shared" si="429"/>
        <v>Não</v>
      </c>
      <c r="J422" s="26">
        <f t="shared" si="430"/>
        <v>49705</v>
      </c>
      <c r="K422" s="26" t="str">
        <f t="shared" si="429"/>
        <v>Não</v>
      </c>
      <c r="L422" s="26">
        <f t="shared" si="431"/>
        <v>49705</v>
      </c>
      <c r="M422" s="26" t="str">
        <f t="shared" ref="M422" si="468">IF(ISNA(VLOOKUP(L422,$A:$A,1,0)),"Não","Sim")</f>
        <v>Não</v>
      </c>
      <c r="N422" s="26">
        <f t="shared" si="433"/>
        <v>49705</v>
      </c>
    </row>
    <row r="423" spans="1:14" x14ac:dyDescent="0.25">
      <c r="A423" s="39">
        <v>49730</v>
      </c>
      <c r="B423" t="s">
        <v>96</v>
      </c>
      <c r="C423" t="s">
        <v>98</v>
      </c>
      <c r="E423" s="26">
        <v>49706</v>
      </c>
      <c r="F423" s="26">
        <f t="shared" si="426"/>
        <v>49734</v>
      </c>
      <c r="G423" s="19">
        <f t="shared" si="427"/>
        <v>5</v>
      </c>
      <c r="H423" s="26">
        <f t="shared" si="428"/>
        <v>49734</v>
      </c>
      <c r="I423" s="26" t="str">
        <f t="shared" si="429"/>
        <v>Não</v>
      </c>
      <c r="J423" s="26">
        <f t="shared" si="430"/>
        <v>49734</v>
      </c>
      <c r="K423" s="26" t="str">
        <f t="shared" si="429"/>
        <v>Não</v>
      </c>
      <c r="L423" s="26">
        <f t="shared" si="431"/>
        <v>49734</v>
      </c>
      <c r="M423" s="26" t="str">
        <f t="shared" ref="M423" si="469">IF(ISNA(VLOOKUP(L423,$A:$A,1,0)),"Não","Sim")</f>
        <v>Não</v>
      </c>
      <c r="N423" s="26">
        <f t="shared" si="433"/>
        <v>49734</v>
      </c>
    </row>
    <row r="424" spans="1:14" x14ac:dyDescent="0.25">
      <c r="A424" s="39">
        <v>49731</v>
      </c>
      <c r="B424" t="s">
        <v>99</v>
      </c>
      <c r="C424" t="s">
        <v>98</v>
      </c>
      <c r="E424" s="26">
        <v>49735</v>
      </c>
      <c r="F424" s="26">
        <f t="shared" si="426"/>
        <v>49765</v>
      </c>
      <c r="G424" s="19">
        <f t="shared" si="427"/>
        <v>1</v>
      </c>
      <c r="H424" s="26">
        <f t="shared" si="428"/>
        <v>49765</v>
      </c>
      <c r="I424" s="26" t="str">
        <f t="shared" si="429"/>
        <v>Não</v>
      </c>
      <c r="J424" s="26">
        <f t="shared" si="430"/>
        <v>49765</v>
      </c>
      <c r="K424" s="26" t="str">
        <f t="shared" si="429"/>
        <v>Não</v>
      </c>
      <c r="L424" s="26">
        <f t="shared" si="431"/>
        <v>49765</v>
      </c>
      <c r="M424" s="26" t="str">
        <f t="shared" ref="M424" si="470">IF(ISNA(VLOOKUP(L424,$A:$A,1,0)),"Não","Sim")</f>
        <v>Não</v>
      </c>
      <c r="N424" s="26">
        <f t="shared" si="433"/>
        <v>49765</v>
      </c>
    </row>
    <row r="425" spans="1:14" x14ac:dyDescent="0.25">
      <c r="A425" s="39">
        <v>49776</v>
      </c>
      <c r="B425" t="s">
        <v>100</v>
      </c>
      <c r="C425" t="s">
        <v>101</v>
      </c>
      <c r="E425" s="26">
        <v>49766</v>
      </c>
      <c r="F425" s="26">
        <f t="shared" si="426"/>
        <v>49795</v>
      </c>
      <c r="G425" s="19">
        <f t="shared" si="427"/>
        <v>3</v>
      </c>
      <c r="H425" s="26">
        <f t="shared" si="428"/>
        <v>49795</v>
      </c>
      <c r="I425" s="26" t="str">
        <f t="shared" si="429"/>
        <v>Não</v>
      </c>
      <c r="J425" s="26">
        <f t="shared" si="430"/>
        <v>49795</v>
      </c>
      <c r="K425" s="26" t="str">
        <f t="shared" si="429"/>
        <v>Não</v>
      </c>
      <c r="L425" s="26">
        <f t="shared" si="431"/>
        <v>49795</v>
      </c>
      <c r="M425" s="26" t="str">
        <f t="shared" ref="M425" si="471">IF(ISNA(VLOOKUP(L425,$A:$A,1,0)),"Não","Sim")</f>
        <v>Não</v>
      </c>
      <c r="N425" s="26">
        <f t="shared" si="433"/>
        <v>49795</v>
      </c>
    </row>
    <row r="426" spans="1:14" x14ac:dyDescent="0.25">
      <c r="A426" s="39">
        <v>49786</v>
      </c>
      <c r="B426" t="s">
        <v>96</v>
      </c>
      <c r="C426" t="s">
        <v>103</v>
      </c>
      <c r="E426" s="26">
        <v>49796</v>
      </c>
      <c r="F426" s="26">
        <f t="shared" si="426"/>
        <v>49826</v>
      </c>
      <c r="G426" s="19">
        <f t="shared" si="427"/>
        <v>6</v>
      </c>
      <c r="H426" s="26">
        <f t="shared" si="428"/>
        <v>49825</v>
      </c>
      <c r="I426" s="26" t="str">
        <f t="shared" si="429"/>
        <v>Não</v>
      </c>
      <c r="J426" s="26">
        <f t="shared" si="430"/>
        <v>49825</v>
      </c>
      <c r="K426" s="26" t="str">
        <f t="shared" si="429"/>
        <v>Não</v>
      </c>
      <c r="L426" s="26">
        <f t="shared" si="431"/>
        <v>49825</v>
      </c>
      <c r="M426" s="26" t="str">
        <f t="shared" ref="M426" si="472">IF(ISNA(VLOOKUP(L426,$A:$A,1,0)),"Não","Sim")</f>
        <v>Não</v>
      </c>
      <c r="N426" s="26">
        <f t="shared" si="433"/>
        <v>49825</v>
      </c>
    </row>
    <row r="427" spans="1:14" x14ac:dyDescent="0.25">
      <c r="A427" s="39">
        <v>49796</v>
      </c>
      <c r="B427" t="s">
        <v>105</v>
      </c>
      <c r="C427" t="s">
        <v>104</v>
      </c>
      <c r="E427" s="26">
        <v>49827</v>
      </c>
      <c r="F427" s="26">
        <f t="shared" si="426"/>
        <v>49856</v>
      </c>
      <c r="G427" s="19">
        <f t="shared" si="427"/>
        <v>1</v>
      </c>
      <c r="H427" s="26">
        <f t="shared" si="428"/>
        <v>49856</v>
      </c>
      <c r="I427" s="26" t="str">
        <f t="shared" si="429"/>
        <v>Não</v>
      </c>
      <c r="J427" s="26">
        <f t="shared" si="430"/>
        <v>49856</v>
      </c>
      <c r="K427" s="26" t="str">
        <f t="shared" si="429"/>
        <v>Não</v>
      </c>
      <c r="L427" s="26">
        <f t="shared" si="431"/>
        <v>49856</v>
      </c>
      <c r="M427" s="26" t="str">
        <f t="shared" ref="M427" si="473">IF(ISNA(VLOOKUP(L427,$A:$A,1,0)),"Não","Sim")</f>
        <v>Não</v>
      </c>
      <c r="N427" s="26">
        <f t="shared" si="433"/>
        <v>49856</v>
      </c>
    </row>
    <row r="428" spans="1:14" x14ac:dyDescent="0.25">
      <c r="A428" s="39">
        <v>49838</v>
      </c>
      <c r="B428" t="s">
        <v>105</v>
      </c>
      <c r="C428" t="s">
        <v>106</v>
      </c>
      <c r="E428" s="26">
        <v>49857</v>
      </c>
      <c r="F428" s="26">
        <f t="shared" si="426"/>
        <v>49887</v>
      </c>
      <c r="G428" s="19">
        <f t="shared" si="427"/>
        <v>4</v>
      </c>
      <c r="H428" s="26">
        <f t="shared" si="428"/>
        <v>49887</v>
      </c>
      <c r="I428" s="26" t="str">
        <f t="shared" si="429"/>
        <v>Não</v>
      </c>
      <c r="J428" s="26">
        <f t="shared" si="430"/>
        <v>49887</v>
      </c>
      <c r="K428" s="26" t="str">
        <f t="shared" si="429"/>
        <v>Não</v>
      </c>
      <c r="L428" s="26">
        <f t="shared" si="431"/>
        <v>49887</v>
      </c>
      <c r="M428" s="26" t="str">
        <f t="shared" ref="M428" si="474">IF(ISNA(VLOOKUP(L428,$A:$A,1,0)),"Não","Sim")</f>
        <v>Não</v>
      </c>
      <c r="N428" s="26">
        <f t="shared" si="433"/>
        <v>49887</v>
      </c>
    </row>
    <row r="429" spans="1:14" x14ac:dyDescent="0.25">
      <c r="A429" s="39">
        <v>49925</v>
      </c>
      <c r="B429" t="s">
        <v>112</v>
      </c>
      <c r="C429" t="s">
        <v>107</v>
      </c>
      <c r="E429" s="26">
        <v>49888</v>
      </c>
      <c r="F429" s="26">
        <f t="shared" si="426"/>
        <v>49918</v>
      </c>
      <c r="G429" s="19">
        <f t="shared" si="427"/>
        <v>7</v>
      </c>
      <c r="H429" s="26">
        <f t="shared" si="428"/>
        <v>49916</v>
      </c>
      <c r="I429" s="26" t="str">
        <f t="shared" si="429"/>
        <v>Não</v>
      </c>
      <c r="J429" s="26">
        <f t="shared" si="430"/>
        <v>49916</v>
      </c>
      <c r="K429" s="26" t="str">
        <f t="shared" si="429"/>
        <v>Não</v>
      </c>
      <c r="L429" s="26">
        <f t="shared" si="431"/>
        <v>49916</v>
      </c>
      <c r="M429" s="26" t="str">
        <f t="shared" ref="M429" si="475">IF(ISNA(VLOOKUP(L429,$A:$A,1,0)),"Não","Sim")</f>
        <v>Não</v>
      </c>
      <c r="N429" s="26">
        <f t="shared" si="433"/>
        <v>49916</v>
      </c>
    </row>
    <row r="430" spans="1:14" x14ac:dyDescent="0.25">
      <c r="A430" s="39">
        <v>49960</v>
      </c>
      <c r="B430" t="s">
        <v>112</v>
      </c>
      <c r="C430" t="s">
        <v>108</v>
      </c>
      <c r="E430" s="26">
        <v>49919</v>
      </c>
      <c r="F430" s="26">
        <f t="shared" si="426"/>
        <v>49948</v>
      </c>
      <c r="G430" s="19">
        <f t="shared" si="427"/>
        <v>2</v>
      </c>
      <c r="H430" s="26">
        <f t="shared" si="428"/>
        <v>49948</v>
      </c>
      <c r="I430" s="26" t="str">
        <f t="shared" si="429"/>
        <v>Não</v>
      </c>
      <c r="J430" s="26">
        <f t="shared" si="430"/>
        <v>49948</v>
      </c>
      <c r="K430" s="26" t="str">
        <f t="shared" si="429"/>
        <v>Não</v>
      </c>
      <c r="L430" s="26">
        <f t="shared" si="431"/>
        <v>49948</v>
      </c>
      <c r="M430" s="26" t="str">
        <f t="shared" ref="M430" si="476">IF(ISNA(VLOOKUP(L430,$A:$A,1,0)),"Não","Sim")</f>
        <v>Não</v>
      </c>
      <c r="N430" s="26">
        <f t="shared" si="433"/>
        <v>49948</v>
      </c>
    </row>
    <row r="431" spans="1:14" x14ac:dyDescent="0.25">
      <c r="A431" s="39">
        <v>49981</v>
      </c>
      <c r="B431" t="s">
        <v>112</v>
      </c>
      <c r="C431" t="s">
        <v>109</v>
      </c>
      <c r="E431" s="26">
        <v>49949</v>
      </c>
      <c r="F431" s="26">
        <f t="shared" si="426"/>
        <v>49979</v>
      </c>
      <c r="G431" s="19">
        <f t="shared" si="427"/>
        <v>5</v>
      </c>
      <c r="H431" s="26">
        <f t="shared" si="428"/>
        <v>49979</v>
      </c>
      <c r="I431" s="26" t="str">
        <f t="shared" si="429"/>
        <v>Não</v>
      </c>
      <c r="J431" s="26">
        <f t="shared" si="430"/>
        <v>49979</v>
      </c>
      <c r="K431" s="26" t="str">
        <f t="shared" si="429"/>
        <v>Não</v>
      </c>
      <c r="L431" s="26">
        <f t="shared" si="431"/>
        <v>49979</v>
      </c>
      <c r="M431" s="26" t="str">
        <f t="shared" ref="M431" si="477">IF(ISNA(VLOOKUP(L431,$A:$A,1,0)),"Não","Sim")</f>
        <v>Não</v>
      </c>
      <c r="N431" s="26">
        <f t="shared" si="433"/>
        <v>49979</v>
      </c>
    </row>
    <row r="432" spans="1:14" x14ac:dyDescent="0.25">
      <c r="A432" s="39">
        <v>49994</v>
      </c>
      <c r="B432" t="s">
        <v>102</v>
      </c>
      <c r="C432" t="s">
        <v>110</v>
      </c>
      <c r="E432" s="26">
        <v>49980</v>
      </c>
      <c r="F432" s="26">
        <f t="shared" si="426"/>
        <v>50009</v>
      </c>
      <c r="G432" s="19">
        <f t="shared" si="427"/>
        <v>7</v>
      </c>
      <c r="H432" s="26">
        <f t="shared" si="428"/>
        <v>50007</v>
      </c>
      <c r="I432" s="26" t="str">
        <f t="shared" si="429"/>
        <v>Não</v>
      </c>
      <c r="J432" s="26">
        <f t="shared" si="430"/>
        <v>50007</v>
      </c>
      <c r="K432" s="26" t="str">
        <f t="shared" si="429"/>
        <v>Não</v>
      </c>
      <c r="L432" s="26">
        <f t="shared" si="431"/>
        <v>50007</v>
      </c>
      <c r="M432" s="26" t="str">
        <f t="shared" ref="M432" si="478">IF(ISNA(VLOOKUP(L432,$A:$A,1,0)),"Não","Sim")</f>
        <v>Não</v>
      </c>
      <c r="N432" s="26">
        <f t="shared" si="433"/>
        <v>50007</v>
      </c>
    </row>
    <row r="433" spans="1:14" x14ac:dyDescent="0.25">
      <c r="A433" s="39">
        <v>50034</v>
      </c>
      <c r="B433" t="s">
        <v>105</v>
      </c>
      <c r="C433" t="s">
        <v>111</v>
      </c>
      <c r="E433" s="26">
        <v>50010</v>
      </c>
      <c r="F433" s="26">
        <f t="shared" si="426"/>
        <v>50040</v>
      </c>
      <c r="G433" s="19">
        <f t="shared" si="427"/>
        <v>3</v>
      </c>
      <c r="H433" s="26">
        <f t="shared" si="428"/>
        <v>50040</v>
      </c>
      <c r="I433" s="26" t="str">
        <f t="shared" si="429"/>
        <v>Não</v>
      </c>
      <c r="J433" s="26">
        <f t="shared" si="430"/>
        <v>50040</v>
      </c>
      <c r="K433" s="26" t="str">
        <f t="shared" si="429"/>
        <v>Não</v>
      </c>
      <c r="L433" s="26">
        <f t="shared" si="431"/>
        <v>50040</v>
      </c>
      <c r="M433" s="26" t="str">
        <f t="shared" ref="M433" si="479">IF(ISNA(VLOOKUP(L433,$A:$A,1,0)),"Não","Sim")</f>
        <v>Não</v>
      </c>
      <c r="N433" s="26">
        <f t="shared" si="433"/>
        <v>50040</v>
      </c>
    </row>
    <row r="434" spans="1:14" x14ac:dyDescent="0.25">
      <c r="A434" s="39">
        <v>50041</v>
      </c>
      <c r="B434" t="s">
        <v>105</v>
      </c>
      <c r="C434" t="s">
        <v>97</v>
      </c>
      <c r="E434" s="26">
        <v>50041</v>
      </c>
      <c r="F434" s="26">
        <f t="shared" si="426"/>
        <v>50071</v>
      </c>
      <c r="G434" s="19">
        <f t="shared" si="427"/>
        <v>6</v>
      </c>
      <c r="H434" s="26">
        <f t="shared" si="428"/>
        <v>50070</v>
      </c>
      <c r="I434" s="26" t="str">
        <f t="shared" si="429"/>
        <v>Não</v>
      </c>
      <c r="J434" s="26">
        <f t="shared" si="430"/>
        <v>50070</v>
      </c>
      <c r="K434" s="26" t="str">
        <f t="shared" si="429"/>
        <v>Não</v>
      </c>
      <c r="L434" s="26">
        <f t="shared" si="431"/>
        <v>50070</v>
      </c>
      <c r="M434" s="26" t="str">
        <f t="shared" ref="M434" si="480">IF(ISNA(VLOOKUP(L434,$A:$A,1,0)),"Não","Sim")</f>
        <v>Não</v>
      </c>
      <c r="N434" s="26">
        <f t="shared" si="433"/>
        <v>50070</v>
      </c>
    </row>
    <row r="435" spans="1:14" x14ac:dyDescent="0.25">
      <c r="A435" s="39">
        <v>50087</v>
      </c>
      <c r="B435" t="s">
        <v>96</v>
      </c>
      <c r="C435" t="s">
        <v>98</v>
      </c>
      <c r="E435" s="26">
        <v>50072</v>
      </c>
      <c r="F435" s="26">
        <f t="shared" si="426"/>
        <v>50099</v>
      </c>
      <c r="G435" s="19">
        <f t="shared" si="427"/>
        <v>6</v>
      </c>
      <c r="H435" s="26">
        <f t="shared" si="428"/>
        <v>50098</v>
      </c>
      <c r="I435" s="26" t="str">
        <f t="shared" si="429"/>
        <v>Não</v>
      </c>
      <c r="J435" s="26">
        <f t="shared" si="430"/>
        <v>50098</v>
      </c>
      <c r="K435" s="26" t="str">
        <f t="shared" si="429"/>
        <v>Não</v>
      </c>
      <c r="L435" s="26">
        <f t="shared" si="431"/>
        <v>50098</v>
      </c>
      <c r="M435" s="26" t="str">
        <f t="shared" ref="M435" si="481">IF(ISNA(VLOOKUP(L435,$A:$A,1,0)),"Não","Sim")</f>
        <v>Não</v>
      </c>
      <c r="N435" s="26">
        <f t="shared" si="433"/>
        <v>50098</v>
      </c>
    </row>
    <row r="436" spans="1:14" x14ac:dyDescent="0.25">
      <c r="A436" s="39">
        <v>50088</v>
      </c>
      <c r="B436" t="s">
        <v>99</v>
      </c>
      <c r="C436" t="s">
        <v>98</v>
      </c>
      <c r="E436" s="26">
        <v>50100</v>
      </c>
      <c r="F436" s="26">
        <f t="shared" si="426"/>
        <v>50130</v>
      </c>
      <c r="G436" s="19">
        <f t="shared" si="427"/>
        <v>2</v>
      </c>
      <c r="H436" s="26">
        <f t="shared" si="428"/>
        <v>50130</v>
      </c>
      <c r="I436" s="26" t="str">
        <f t="shared" si="429"/>
        <v>Não</v>
      </c>
      <c r="J436" s="26">
        <f t="shared" si="430"/>
        <v>50130</v>
      </c>
      <c r="K436" s="26" t="str">
        <f t="shared" si="429"/>
        <v>Não</v>
      </c>
      <c r="L436" s="26">
        <f t="shared" si="431"/>
        <v>50130</v>
      </c>
      <c r="M436" s="26" t="str">
        <f t="shared" ref="M436" si="482">IF(ISNA(VLOOKUP(L436,$A:$A,1,0)),"Não","Sim")</f>
        <v>Não</v>
      </c>
      <c r="N436" s="26">
        <f t="shared" si="433"/>
        <v>50130</v>
      </c>
    </row>
    <row r="437" spans="1:14" x14ac:dyDescent="0.25">
      <c r="A437" s="39">
        <v>50133</v>
      </c>
      <c r="B437" t="s">
        <v>100</v>
      </c>
      <c r="C437" t="s">
        <v>101</v>
      </c>
      <c r="E437" s="26">
        <v>50131</v>
      </c>
      <c r="F437" s="26">
        <f t="shared" si="426"/>
        <v>50160</v>
      </c>
      <c r="G437" s="19">
        <f t="shared" si="427"/>
        <v>4</v>
      </c>
      <c r="H437" s="26">
        <f t="shared" si="428"/>
        <v>50160</v>
      </c>
      <c r="I437" s="26" t="str">
        <f t="shared" si="429"/>
        <v>Não</v>
      </c>
      <c r="J437" s="26">
        <f t="shared" si="430"/>
        <v>50160</v>
      </c>
      <c r="K437" s="26" t="str">
        <f t="shared" si="429"/>
        <v>Não</v>
      </c>
      <c r="L437" s="26">
        <f t="shared" si="431"/>
        <v>50160</v>
      </c>
      <c r="M437" s="26" t="str">
        <f t="shared" ref="M437" si="483">IF(ISNA(VLOOKUP(L437,$A:$A,1,0)),"Não","Sim")</f>
        <v>Não</v>
      </c>
      <c r="N437" s="26">
        <f t="shared" si="433"/>
        <v>50160</v>
      </c>
    </row>
    <row r="438" spans="1:14" x14ac:dyDescent="0.25">
      <c r="A438" s="39">
        <v>50151</v>
      </c>
      <c r="B438" t="s">
        <v>99</v>
      </c>
      <c r="C438" t="s">
        <v>103</v>
      </c>
      <c r="E438" s="26">
        <v>50161</v>
      </c>
      <c r="F438" s="26">
        <f t="shared" si="426"/>
        <v>50191</v>
      </c>
      <c r="G438" s="19">
        <f t="shared" si="427"/>
        <v>7</v>
      </c>
      <c r="H438" s="26">
        <f t="shared" si="428"/>
        <v>50189</v>
      </c>
      <c r="I438" s="26" t="str">
        <f t="shared" si="429"/>
        <v>Não</v>
      </c>
      <c r="J438" s="26">
        <f t="shared" si="430"/>
        <v>50189</v>
      </c>
      <c r="K438" s="26" t="str">
        <f t="shared" si="429"/>
        <v>Não</v>
      </c>
      <c r="L438" s="26">
        <f t="shared" si="431"/>
        <v>50189</v>
      </c>
      <c r="M438" s="26" t="str">
        <f t="shared" ref="M438" si="484">IF(ISNA(VLOOKUP(L438,$A:$A,1,0)),"Não","Sim")</f>
        <v>Não</v>
      </c>
      <c r="N438" s="26">
        <f t="shared" si="433"/>
        <v>50189</v>
      </c>
    </row>
    <row r="439" spans="1:14" x14ac:dyDescent="0.25">
      <c r="A439" s="39">
        <v>50161</v>
      </c>
      <c r="B439" t="s">
        <v>100</v>
      </c>
      <c r="C439" t="s">
        <v>104</v>
      </c>
      <c r="E439" s="26">
        <v>50192</v>
      </c>
      <c r="F439" s="26">
        <f t="shared" si="426"/>
        <v>50221</v>
      </c>
      <c r="G439" s="19">
        <f t="shared" si="427"/>
        <v>2</v>
      </c>
      <c r="H439" s="26">
        <f t="shared" si="428"/>
        <v>50221</v>
      </c>
      <c r="I439" s="26" t="str">
        <f t="shared" si="429"/>
        <v>Não</v>
      </c>
      <c r="J439" s="26">
        <f t="shared" si="430"/>
        <v>50221</v>
      </c>
      <c r="K439" s="26" t="str">
        <f t="shared" si="429"/>
        <v>Não</v>
      </c>
      <c r="L439" s="26">
        <f t="shared" si="431"/>
        <v>50221</v>
      </c>
      <c r="M439" s="26" t="str">
        <f t="shared" ref="M439" si="485">IF(ISNA(VLOOKUP(L439,$A:$A,1,0)),"Não","Sim")</f>
        <v>Não</v>
      </c>
      <c r="N439" s="26">
        <f t="shared" si="433"/>
        <v>50221</v>
      </c>
    </row>
    <row r="440" spans="1:14" x14ac:dyDescent="0.25">
      <c r="A440" s="39">
        <v>50195</v>
      </c>
      <c r="B440" t="s">
        <v>105</v>
      </c>
      <c r="C440" t="s">
        <v>106</v>
      </c>
      <c r="E440" s="26">
        <v>50222</v>
      </c>
      <c r="F440" s="26">
        <f t="shared" si="426"/>
        <v>50252</v>
      </c>
      <c r="G440" s="19">
        <f t="shared" si="427"/>
        <v>5</v>
      </c>
      <c r="H440" s="26">
        <f t="shared" si="428"/>
        <v>50252</v>
      </c>
      <c r="I440" s="26" t="str">
        <f t="shared" si="429"/>
        <v>Não</v>
      </c>
      <c r="J440" s="26">
        <f t="shared" si="430"/>
        <v>50252</v>
      </c>
      <c r="K440" s="26" t="str">
        <f t="shared" si="429"/>
        <v>Não</v>
      </c>
      <c r="L440" s="26">
        <f t="shared" si="431"/>
        <v>50252</v>
      </c>
      <c r="M440" s="26" t="str">
        <f t="shared" ref="M440" si="486">IF(ISNA(VLOOKUP(L440,$A:$A,1,0)),"Não","Sim")</f>
        <v>Não</v>
      </c>
      <c r="N440" s="26">
        <f t="shared" si="433"/>
        <v>50252</v>
      </c>
    </row>
    <row r="441" spans="1:14" x14ac:dyDescent="0.25">
      <c r="A441" s="39">
        <v>50290</v>
      </c>
      <c r="B441" t="s">
        <v>96</v>
      </c>
      <c r="C441" t="s">
        <v>107</v>
      </c>
      <c r="E441" s="26">
        <v>50253</v>
      </c>
      <c r="F441" s="26">
        <f t="shared" si="426"/>
        <v>50283</v>
      </c>
      <c r="G441" s="19">
        <f t="shared" si="427"/>
        <v>1</v>
      </c>
      <c r="H441" s="26">
        <f t="shared" si="428"/>
        <v>50283</v>
      </c>
      <c r="I441" s="26" t="str">
        <f t="shared" si="429"/>
        <v>Não</v>
      </c>
      <c r="J441" s="26">
        <f t="shared" si="430"/>
        <v>50283</v>
      </c>
      <c r="K441" s="26" t="str">
        <f t="shared" si="429"/>
        <v>Não</v>
      </c>
      <c r="L441" s="26">
        <f t="shared" si="431"/>
        <v>50283</v>
      </c>
      <c r="M441" s="26" t="str">
        <f t="shared" ref="M441" si="487">IF(ISNA(VLOOKUP(L441,$A:$A,1,0)),"Não","Sim")</f>
        <v>Não</v>
      </c>
      <c r="N441" s="26">
        <f t="shared" si="433"/>
        <v>50283</v>
      </c>
    </row>
    <row r="442" spans="1:14" x14ac:dyDescent="0.25">
      <c r="A442" s="39">
        <v>50325</v>
      </c>
      <c r="B442" t="s">
        <v>96</v>
      </c>
      <c r="C442" t="s">
        <v>108</v>
      </c>
      <c r="E442" s="26">
        <v>50284</v>
      </c>
      <c r="F442" s="26">
        <f t="shared" si="426"/>
        <v>50313</v>
      </c>
      <c r="G442" s="19">
        <f t="shared" si="427"/>
        <v>3</v>
      </c>
      <c r="H442" s="26">
        <f t="shared" si="428"/>
        <v>50313</v>
      </c>
      <c r="I442" s="26" t="str">
        <f t="shared" si="429"/>
        <v>Não</v>
      </c>
      <c r="J442" s="26">
        <f t="shared" si="430"/>
        <v>50313</v>
      </c>
      <c r="K442" s="26" t="str">
        <f t="shared" si="429"/>
        <v>Não</v>
      </c>
      <c r="L442" s="26">
        <f t="shared" si="431"/>
        <v>50313</v>
      </c>
      <c r="M442" s="26" t="str">
        <f t="shared" ref="M442" si="488">IF(ISNA(VLOOKUP(L442,$A:$A,1,0)),"Não","Sim")</f>
        <v>Não</v>
      </c>
      <c r="N442" s="26">
        <f t="shared" si="433"/>
        <v>50313</v>
      </c>
    </row>
    <row r="443" spans="1:14" x14ac:dyDescent="0.25">
      <c r="A443" s="39">
        <v>50346</v>
      </c>
      <c r="B443" t="s">
        <v>96</v>
      </c>
      <c r="C443" t="s">
        <v>109</v>
      </c>
      <c r="E443" s="26">
        <v>50314</v>
      </c>
      <c r="F443" s="26">
        <f t="shared" si="426"/>
        <v>50344</v>
      </c>
      <c r="G443" s="19">
        <f t="shared" si="427"/>
        <v>6</v>
      </c>
      <c r="H443" s="26">
        <f t="shared" si="428"/>
        <v>50343</v>
      </c>
      <c r="I443" s="26" t="str">
        <f t="shared" si="429"/>
        <v>Não</v>
      </c>
      <c r="J443" s="26">
        <f t="shared" si="430"/>
        <v>50343</v>
      </c>
      <c r="K443" s="26" t="str">
        <f t="shared" si="429"/>
        <v>Não</v>
      </c>
      <c r="L443" s="26">
        <f t="shared" si="431"/>
        <v>50343</v>
      </c>
      <c r="M443" s="26" t="str">
        <f t="shared" ref="M443" si="489">IF(ISNA(VLOOKUP(L443,$A:$A,1,0)),"Não","Sim")</f>
        <v>Não</v>
      </c>
      <c r="N443" s="26">
        <f t="shared" si="433"/>
        <v>50343</v>
      </c>
    </row>
    <row r="444" spans="1:14" x14ac:dyDescent="0.25">
      <c r="A444" s="39">
        <v>50359</v>
      </c>
      <c r="B444" t="s">
        <v>112</v>
      </c>
      <c r="C444" t="s">
        <v>110</v>
      </c>
      <c r="E444" s="26">
        <v>50345</v>
      </c>
      <c r="F444" s="26">
        <f t="shared" si="426"/>
        <v>50374</v>
      </c>
      <c r="G444" s="19">
        <f t="shared" si="427"/>
        <v>1</v>
      </c>
      <c r="H444" s="26">
        <f t="shared" si="428"/>
        <v>50374</v>
      </c>
      <c r="I444" s="26" t="str">
        <f t="shared" si="429"/>
        <v>Não</v>
      </c>
      <c r="J444" s="26">
        <f t="shared" si="430"/>
        <v>50374</v>
      </c>
      <c r="K444" s="26" t="str">
        <f t="shared" si="429"/>
        <v>Não</v>
      </c>
      <c r="L444" s="26">
        <f t="shared" si="431"/>
        <v>50374</v>
      </c>
      <c r="M444" s="26" t="str">
        <f t="shared" ref="M444" si="490">IF(ISNA(VLOOKUP(L444,$A:$A,1,0)),"Não","Sim")</f>
        <v>Não</v>
      </c>
      <c r="N444" s="26">
        <f t="shared" si="433"/>
        <v>50374</v>
      </c>
    </row>
    <row r="445" spans="1:14" x14ac:dyDescent="0.25">
      <c r="A445" s="39">
        <v>50399</v>
      </c>
      <c r="B445" t="s">
        <v>100</v>
      </c>
      <c r="C445" t="s">
        <v>111</v>
      </c>
      <c r="E445" s="26">
        <v>50375</v>
      </c>
      <c r="F445" s="26">
        <f t="shared" si="426"/>
        <v>50405</v>
      </c>
      <c r="G445" s="19">
        <f t="shared" si="427"/>
        <v>4</v>
      </c>
      <c r="H445" s="26">
        <f t="shared" si="428"/>
        <v>50405</v>
      </c>
      <c r="I445" s="26" t="str">
        <f t="shared" si="429"/>
        <v>Não</v>
      </c>
      <c r="J445" s="26">
        <f t="shared" si="430"/>
        <v>50405</v>
      </c>
      <c r="K445" s="26" t="str">
        <f t="shared" si="429"/>
        <v>Não</v>
      </c>
      <c r="L445" s="26">
        <f t="shared" si="431"/>
        <v>50405</v>
      </c>
      <c r="M445" s="26" t="str">
        <f t="shared" ref="M445" si="491">IF(ISNA(VLOOKUP(L445,$A:$A,1,0)),"Não","Sim")</f>
        <v>Não</v>
      </c>
      <c r="N445" s="26">
        <f t="shared" si="433"/>
        <v>50405</v>
      </c>
    </row>
    <row r="446" spans="1:14" x14ac:dyDescent="0.25">
      <c r="A446" s="39">
        <v>50406</v>
      </c>
      <c r="B446" t="s">
        <v>100</v>
      </c>
      <c r="C446" t="s">
        <v>97</v>
      </c>
      <c r="E446" s="26">
        <v>50406</v>
      </c>
      <c r="F446" s="26">
        <f t="shared" si="426"/>
        <v>50436</v>
      </c>
      <c r="G446" s="19">
        <f t="shared" si="427"/>
        <v>7</v>
      </c>
      <c r="H446" s="26">
        <f t="shared" si="428"/>
        <v>50434</v>
      </c>
      <c r="I446" s="26" t="str">
        <f t="shared" si="429"/>
        <v>Não</v>
      </c>
      <c r="J446" s="26">
        <f t="shared" si="430"/>
        <v>50434</v>
      </c>
      <c r="K446" s="26" t="str">
        <f t="shared" si="429"/>
        <v>Não</v>
      </c>
      <c r="L446" s="26">
        <f t="shared" si="431"/>
        <v>50434</v>
      </c>
      <c r="M446" s="26" t="str">
        <f t="shared" ref="M446" si="492">IF(ISNA(VLOOKUP(L446,$A:$A,1,0)),"Não","Sim")</f>
        <v>Não</v>
      </c>
      <c r="N446" s="26">
        <f t="shared" si="433"/>
        <v>50434</v>
      </c>
    </row>
    <row r="447" spans="1:14" x14ac:dyDescent="0.25">
      <c r="A447" s="39">
        <v>50472</v>
      </c>
      <c r="B447" t="s">
        <v>96</v>
      </c>
      <c r="C447" t="s">
        <v>98</v>
      </c>
      <c r="E447" s="26">
        <v>50437</v>
      </c>
      <c r="F447" s="26">
        <f t="shared" si="426"/>
        <v>50464</v>
      </c>
      <c r="G447" s="19">
        <f t="shared" si="427"/>
        <v>7</v>
      </c>
      <c r="H447" s="26">
        <f t="shared" si="428"/>
        <v>50462</v>
      </c>
      <c r="I447" s="26" t="str">
        <f t="shared" si="429"/>
        <v>Não</v>
      </c>
      <c r="J447" s="26">
        <f t="shared" si="430"/>
        <v>50462</v>
      </c>
      <c r="K447" s="26" t="str">
        <f t="shared" si="429"/>
        <v>Não</v>
      </c>
      <c r="L447" s="26">
        <f t="shared" si="431"/>
        <v>50462</v>
      </c>
      <c r="M447" s="26" t="str">
        <f t="shared" ref="M447" si="493">IF(ISNA(VLOOKUP(L447,$A:$A,1,0)),"Não","Sim")</f>
        <v>Não</v>
      </c>
      <c r="N447" s="26">
        <f t="shared" si="433"/>
        <v>50462</v>
      </c>
    </row>
    <row r="448" spans="1:14" x14ac:dyDescent="0.25">
      <c r="A448" s="39">
        <v>50473</v>
      </c>
      <c r="B448" t="s">
        <v>99</v>
      </c>
      <c r="C448" t="s">
        <v>98</v>
      </c>
      <c r="E448" s="26">
        <v>50465</v>
      </c>
      <c r="F448" s="26">
        <f t="shared" si="426"/>
        <v>50495</v>
      </c>
      <c r="G448" s="19">
        <f t="shared" si="427"/>
        <v>3</v>
      </c>
      <c r="H448" s="26">
        <f t="shared" si="428"/>
        <v>50495</v>
      </c>
      <c r="I448" s="26" t="str">
        <f t="shared" si="429"/>
        <v>Não</v>
      </c>
      <c r="J448" s="26">
        <f t="shared" si="430"/>
        <v>50495</v>
      </c>
      <c r="K448" s="26" t="str">
        <f t="shared" si="429"/>
        <v>Não</v>
      </c>
      <c r="L448" s="26">
        <f t="shared" si="431"/>
        <v>50495</v>
      </c>
      <c r="M448" s="26" t="str">
        <f t="shared" ref="M448" si="494">IF(ISNA(VLOOKUP(L448,$A:$A,1,0)),"Não","Sim")</f>
        <v>Não</v>
      </c>
      <c r="N448" s="26">
        <f t="shared" si="433"/>
        <v>50495</v>
      </c>
    </row>
    <row r="449" spans="1:14" x14ac:dyDescent="0.25">
      <c r="A449" s="39">
        <v>50516</v>
      </c>
      <c r="B449" t="s">
        <v>113</v>
      </c>
      <c r="C449" t="s">
        <v>103</v>
      </c>
      <c r="E449" s="26">
        <v>50496</v>
      </c>
      <c r="F449" s="26">
        <f t="shared" si="426"/>
        <v>50525</v>
      </c>
      <c r="G449" s="19">
        <f t="shared" si="427"/>
        <v>5</v>
      </c>
      <c r="H449" s="26">
        <f t="shared" si="428"/>
        <v>50525</v>
      </c>
      <c r="I449" s="26" t="str">
        <f t="shared" si="429"/>
        <v>Não</v>
      </c>
      <c r="J449" s="26">
        <f t="shared" si="430"/>
        <v>50525</v>
      </c>
      <c r="K449" s="26" t="str">
        <f t="shared" si="429"/>
        <v>Não</v>
      </c>
      <c r="L449" s="26">
        <f t="shared" si="431"/>
        <v>50525</v>
      </c>
      <c r="M449" s="26" t="str">
        <f t="shared" ref="M449" si="495">IF(ISNA(VLOOKUP(L449,$A:$A,1,0)),"Não","Sim")</f>
        <v>Não</v>
      </c>
      <c r="N449" s="26">
        <f t="shared" si="433"/>
        <v>50525</v>
      </c>
    </row>
    <row r="450" spans="1:14" x14ac:dyDescent="0.25">
      <c r="A450" s="39">
        <v>50518</v>
      </c>
      <c r="B450" t="s">
        <v>100</v>
      </c>
      <c r="C450" t="s">
        <v>101</v>
      </c>
      <c r="E450" s="26">
        <v>50526</v>
      </c>
      <c r="F450" s="26">
        <f t="shared" si="426"/>
        <v>50556</v>
      </c>
      <c r="G450" s="19">
        <f t="shared" si="427"/>
        <v>1</v>
      </c>
      <c r="H450" s="26">
        <f t="shared" si="428"/>
        <v>50556</v>
      </c>
      <c r="I450" s="26" t="str">
        <f t="shared" si="429"/>
        <v>Não</v>
      </c>
      <c r="J450" s="26">
        <f t="shared" si="430"/>
        <v>50556</v>
      </c>
      <c r="K450" s="26" t="str">
        <f t="shared" si="429"/>
        <v>Não</v>
      </c>
      <c r="L450" s="26">
        <f t="shared" si="431"/>
        <v>50556</v>
      </c>
      <c r="M450" s="26" t="str">
        <f t="shared" ref="M450" si="496">IF(ISNA(VLOOKUP(L450,$A:$A,1,0)),"Não","Sim")</f>
        <v>Não</v>
      </c>
      <c r="N450" s="26">
        <f t="shared" si="433"/>
        <v>50556</v>
      </c>
    </row>
    <row r="451" spans="1:14" x14ac:dyDescent="0.25">
      <c r="A451" s="39">
        <v>50526</v>
      </c>
      <c r="B451" t="s">
        <v>102</v>
      </c>
      <c r="C451" t="s">
        <v>104</v>
      </c>
      <c r="E451" s="26">
        <v>50557</v>
      </c>
      <c r="F451" s="26">
        <f t="shared" ref="F451:F481" si="497">EOMONTH(E451,0)</f>
        <v>50586</v>
      </c>
      <c r="G451" s="19">
        <f t="shared" ref="G451:G481" si="498">WEEKDAY(F451,2)</f>
        <v>3</v>
      </c>
      <c r="H451" s="26">
        <f t="shared" ref="H451:H481" si="499">IF(G451=6,F451-1,IF(G451=7,F451-2,F451))</f>
        <v>50586</v>
      </c>
      <c r="I451" s="26" t="str">
        <f t="shared" ref="I451:K481" si="500">IF(ISNA(VLOOKUP(H451,$A:$A,1,0)),"Não","Sim")</f>
        <v>Não</v>
      </c>
      <c r="J451" s="26">
        <f t="shared" ref="J451:J481" si="501">IF(I451="Não",H451,H451-1)</f>
        <v>50586</v>
      </c>
      <c r="K451" s="26" t="str">
        <f t="shared" si="500"/>
        <v>Não</v>
      </c>
      <c r="L451" s="26">
        <f t="shared" ref="L451:L481" si="502">IF(K451="Não",J451,J451-1)</f>
        <v>50586</v>
      </c>
      <c r="M451" s="26" t="str">
        <f t="shared" ref="M451" si="503">IF(ISNA(VLOOKUP(L451,$A:$A,1,0)),"Não","Sim")</f>
        <v>Não</v>
      </c>
      <c r="N451" s="26">
        <f t="shared" ref="N451:N481" si="504">IF(M451="Não",L451,L451-1)</f>
        <v>50586</v>
      </c>
    </row>
    <row r="452" spans="1:14" x14ac:dyDescent="0.25">
      <c r="A452" s="39">
        <v>50580</v>
      </c>
      <c r="B452" t="s">
        <v>105</v>
      </c>
      <c r="C452" t="s">
        <v>106</v>
      </c>
      <c r="E452" s="26">
        <v>50587</v>
      </c>
      <c r="F452" s="26">
        <f t="shared" si="497"/>
        <v>50617</v>
      </c>
      <c r="G452" s="19">
        <f t="shared" si="498"/>
        <v>6</v>
      </c>
      <c r="H452" s="26">
        <f t="shared" si="499"/>
        <v>50616</v>
      </c>
      <c r="I452" s="26" t="str">
        <f t="shared" si="500"/>
        <v>Não</v>
      </c>
      <c r="J452" s="26">
        <f t="shared" si="501"/>
        <v>50616</v>
      </c>
      <c r="K452" s="26" t="str">
        <f t="shared" si="500"/>
        <v>Não</v>
      </c>
      <c r="L452" s="26">
        <f t="shared" si="502"/>
        <v>50616</v>
      </c>
      <c r="M452" s="26" t="str">
        <f t="shared" ref="M452" si="505">IF(ISNA(VLOOKUP(L452,$A:$A,1,0)),"Não","Sim")</f>
        <v>Não</v>
      </c>
      <c r="N452" s="26">
        <f t="shared" si="504"/>
        <v>50616</v>
      </c>
    </row>
    <row r="453" spans="1:14" x14ac:dyDescent="0.25">
      <c r="A453" s="39">
        <v>50655</v>
      </c>
      <c r="B453" t="s">
        <v>99</v>
      </c>
      <c r="C453" t="s">
        <v>107</v>
      </c>
      <c r="E453" s="26">
        <v>50618</v>
      </c>
      <c r="F453" s="26">
        <f t="shared" si="497"/>
        <v>50648</v>
      </c>
      <c r="G453" s="19">
        <f t="shared" si="498"/>
        <v>2</v>
      </c>
      <c r="H453" s="26">
        <f t="shared" si="499"/>
        <v>50648</v>
      </c>
      <c r="I453" s="26" t="str">
        <f t="shared" si="500"/>
        <v>Não</v>
      </c>
      <c r="J453" s="26">
        <f t="shared" si="501"/>
        <v>50648</v>
      </c>
      <c r="K453" s="26" t="str">
        <f t="shared" si="500"/>
        <v>Não</v>
      </c>
      <c r="L453" s="26">
        <f t="shared" si="502"/>
        <v>50648</v>
      </c>
      <c r="M453" s="26" t="str">
        <f t="shared" ref="M453" si="506">IF(ISNA(VLOOKUP(L453,$A:$A,1,0)),"Não","Sim")</f>
        <v>Não</v>
      </c>
      <c r="N453" s="26">
        <f t="shared" si="504"/>
        <v>50648</v>
      </c>
    </row>
    <row r="454" spans="1:14" x14ac:dyDescent="0.25">
      <c r="A454" s="39">
        <v>50690</v>
      </c>
      <c r="B454" t="s">
        <v>99</v>
      </c>
      <c r="C454" t="s">
        <v>108</v>
      </c>
      <c r="E454" s="26">
        <v>50649</v>
      </c>
      <c r="F454" s="26">
        <f t="shared" si="497"/>
        <v>50678</v>
      </c>
      <c r="G454" s="19">
        <f t="shared" si="498"/>
        <v>4</v>
      </c>
      <c r="H454" s="26">
        <f t="shared" si="499"/>
        <v>50678</v>
      </c>
      <c r="I454" s="26" t="str">
        <f t="shared" si="500"/>
        <v>Não</v>
      </c>
      <c r="J454" s="26">
        <f t="shared" si="501"/>
        <v>50678</v>
      </c>
      <c r="K454" s="26" t="str">
        <f t="shared" si="500"/>
        <v>Não</v>
      </c>
      <c r="L454" s="26">
        <f t="shared" si="502"/>
        <v>50678</v>
      </c>
      <c r="M454" s="26" t="str">
        <f t="shared" ref="M454" si="507">IF(ISNA(VLOOKUP(L454,$A:$A,1,0)),"Não","Sim")</f>
        <v>Não</v>
      </c>
      <c r="N454" s="26">
        <f t="shared" si="504"/>
        <v>50678</v>
      </c>
    </row>
    <row r="455" spans="1:14" x14ac:dyDescent="0.25">
      <c r="A455" s="39">
        <v>50711</v>
      </c>
      <c r="B455" t="s">
        <v>99</v>
      </c>
      <c r="C455" t="s">
        <v>109</v>
      </c>
      <c r="E455" s="26">
        <v>50679</v>
      </c>
      <c r="F455" s="26">
        <f t="shared" si="497"/>
        <v>50709</v>
      </c>
      <c r="G455" s="19">
        <f t="shared" si="498"/>
        <v>7</v>
      </c>
      <c r="H455" s="26">
        <f t="shared" si="499"/>
        <v>50707</v>
      </c>
      <c r="I455" s="26" t="str">
        <f t="shared" si="500"/>
        <v>Não</v>
      </c>
      <c r="J455" s="26">
        <f t="shared" si="501"/>
        <v>50707</v>
      </c>
      <c r="K455" s="26" t="str">
        <f t="shared" si="500"/>
        <v>Não</v>
      </c>
      <c r="L455" s="26">
        <f t="shared" si="502"/>
        <v>50707</v>
      </c>
      <c r="M455" s="26" t="str">
        <f t="shared" ref="M455" si="508">IF(ISNA(VLOOKUP(L455,$A:$A,1,0)),"Não","Sim")</f>
        <v>Não</v>
      </c>
      <c r="N455" s="26">
        <f t="shared" si="504"/>
        <v>50707</v>
      </c>
    </row>
    <row r="456" spans="1:14" x14ac:dyDescent="0.25">
      <c r="A456" s="39">
        <v>50724</v>
      </c>
      <c r="B456" t="s">
        <v>96</v>
      </c>
      <c r="C456" t="s">
        <v>110</v>
      </c>
      <c r="E456" s="26">
        <v>50710</v>
      </c>
      <c r="F456" s="26">
        <f t="shared" si="497"/>
        <v>50739</v>
      </c>
      <c r="G456" s="19">
        <f t="shared" si="498"/>
        <v>2</v>
      </c>
      <c r="H456" s="26">
        <f t="shared" si="499"/>
        <v>50739</v>
      </c>
      <c r="I456" s="26" t="str">
        <f t="shared" si="500"/>
        <v>Não</v>
      </c>
      <c r="J456" s="26">
        <f t="shared" si="501"/>
        <v>50739</v>
      </c>
      <c r="K456" s="26" t="str">
        <f t="shared" si="500"/>
        <v>Não</v>
      </c>
      <c r="L456" s="26">
        <f t="shared" si="502"/>
        <v>50739</v>
      </c>
      <c r="M456" s="26" t="str">
        <f t="shared" ref="M456" si="509">IF(ISNA(VLOOKUP(L456,$A:$A,1,0)),"Não","Sim")</f>
        <v>Não</v>
      </c>
      <c r="N456" s="26">
        <f t="shared" si="504"/>
        <v>50739</v>
      </c>
    </row>
    <row r="457" spans="1:14" x14ac:dyDescent="0.25">
      <c r="A457" s="39">
        <v>50764</v>
      </c>
      <c r="B457" t="s">
        <v>102</v>
      </c>
      <c r="C457" t="s">
        <v>111</v>
      </c>
      <c r="E457" s="26">
        <v>50740</v>
      </c>
      <c r="F457" s="26">
        <f t="shared" si="497"/>
        <v>50770</v>
      </c>
      <c r="G457" s="19">
        <f t="shared" si="498"/>
        <v>5</v>
      </c>
      <c r="H457" s="26">
        <f t="shared" si="499"/>
        <v>50770</v>
      </c>
      <c r="I457" s="26" t="str">
        <f t="shared" si="500"/>
        <v>Não</v>
      </c>
      <c r="J457" s="26">
        <f t="shared" si="501"/>
        <v>50770</v>
      </c>
      <c r="K457" s="26" t="str">
        <f t="shared" si="500"/>
        <v>Não</v>
      </c>
      <c r="L457" s="26">
        <f t="shared" si="502"/>
        <v>50770</v>
      </c>
      <c r="M457" s="26" t="str">
        <f t="shared" ref="M457" si="510">IF(ISNA(VLOOKUP(L457,$A:$A,1,0)),"Não","Sim")</f>
        <v>Não</v>
      </c>
      <c r="N457" s="26">
        <f t="shared" si="504"/>
        <v>50770</v>
      </c>
    </row>
    <row r="458" spans="1:14" x14ac:dyDescent="0.25">
      <c r="A458" s="39">
        <v>50771</v>
      </c>
      <c r="B458" t="s">
        <v>102</v>
      </c>
      <c r="C458" t="s">
        <v>97</v>
      </c>
      <c r="E458" s="26">
        <v>50771</v>
      </c>
      <c r="F458" s="26">
        <f t="shared" si="497"/>
        <v>50801</v>
      </c>
      <c r="G458" s="19">
        <f t="shared" si="498"/>
        <v>1</v>
      </c>
      <c r="H458" s="26">
        <f t="shared" si="499"/>
        <v>50801</v>
      </c>
      <c r="I458" s="26" t="str">
        <f t="shared" si="500"/>
        <v>Não</v>
      </c>
      <c r="J458" s="26">
        <f t="shared" si="501"/>
        <v>50801</v>
      </c>
      <c r="K458" s="26" t="str">
        <f t="shared" si="500"/>
        <v>Não</v>
      </c>
      <c r="L458" s="26">
        <f t="shared" si="502"/>
        <v>50801</v>
      </c>
      <c r="M458" s="26" t="str">
        <f t="shared" ref="M458" si="511">IF(ISNA(VLOOKUP(L458,$A:$A,1,0)),"Não","Sim")</f>
        <v>Não</v>
      </c>
      <c r="N458" s="26">
        <f t="shared" si="504"/>
        <v>50801</v>
      </c>
    </row>
    <row r="459" spans="1:14" x14ac:dyDescent="0.25">
      <c r="A459" s="39">
        <v>50822</v>
      </c>
      <c r="B459" t="s">
        <v>96</v>
      </c>
      <c r="C459" t="s">
        <v>98</v>
      </c>
      <c r="E459" s="26">
        <v>50802</v>
      </c>
      <c r="F459" s="26">
        <f t="shared" si="497"/>
        <v>50829</v>
      </c>
      <c r="G459" s="19">
        <f t="shared" si="498"/>
        <v>1</v>
      </c>
      <c r="H459" s="26">
        <f t="shared" si="499"/>
        <v>50829</v>
      </c>
      <c r="I459" s="26" t="str">
        <f t="shared" si="500"/>
        <v>Não</v>
      </c>
      <c r="J459" s="26">
        <f t="shared" si="501"/>
        <v>50829</v>
      </c>
      <c r="K459" s="26" t="str">
        <f t="shared" si="500"/>
        <v>Não</v>
      </c>
      <c r="L459" s="26">
        <f t="shared" si="502"/>
        <v>50829</v>
      </c>
      <c r="M459" s="26" t="str">
        <f t="shared" ref="M459" si="512">IF(ISNA(VLOOKUP(L459,$A:$A,1,0)),"Não","Sim")</f>
        <v>Não</v>
      </c>
      <c r="N459" s="26">
        <f t="shared" si="504"/>
        <v>50829</v>
      </c>
    </row>
    <row r="460" spans="1:14" x14ac:dyDescent="0.25">
      <c r="A460" s="39">
        <v>50823</v>
      </c>
      <c r="B460" t="s">
        <v>99</v>
      </c>
      <c r="C460" t="s">
        <v>98</v>
      </c>
      <c r="E460" s="26">
        <v>50830</v>
      </c>
      <c r="F460" s="26">
        <f t="shared" si="497"/>
        <v>50860</v>
      </c>
      <c r="G460" s="19">
        <f t="shared" si="498"/>
        <v>4</v>
      </c>
      <c r="H460" s="26">
        <f t="shared" si="499"/>
        <v>50860</v>
      </c>
      <c r="I460" s="26" t="str">
        <f t="shared" si="500"/>
        <v>Não</v>
      </c>
      <c r="J460" s="26">
        <f t="shared" si="501"/>
        <v>50860</v>
      </c>
      <c r="K460" s="26" t="str">
        <f t="shared" si="500"/>
        <v>Não</v>
      </c>
      <c r="L460" s="26">
        <f t="shared" si="502"/>
        <v>50860</v>
      </c>
      <c r="M460" s="26" t="str">
        <f t="shared" ref="M460" si="513">IF(ISNA(VLOOKUP(L460,$A:$A,1,0)),"Não","Sim")</f>
        <v>Não</v>
      </c>
      <c r="N460" s="26">
        <f t="shared" si="504"/>
        <v>50860</v>
      </c>
    </row>
    <row r="461" spans="1:14" x14ac:dyDescent="0.25">
      <c r="A461" s="39">
        <v>50868</v>
      </c>
      <c r="B461" t="s">
        <v>100</v>
      </c>
      <c r="C461" t="s">
        <v>101</v>
      </c>
      <c r="E461" s="26">
        <v>50861</v>
      </c>
      <c r="F461" s="26">
        <f t="shared" si="497"/>
        <v>50890</v>
      </c>
      <c r="G461" s="19">
        <f t="shared" si="498"/>
        <v>6</v>
      </c>
      <c r="H461" s="26">
        <f t="shared" si="499"/>
        <v>50889</v>
      </c>
      <c r="I461" s="26" t="str">
        <f t="shared" si="500"/>
        <v>Não</v>
      </c>
      <c r="J461" s="26">
        <f t="shared" si="501"/>
        <v>50889</v>
      </c>
      <c r="K461" s="26" t="str">
        <f t="shared" si="500"/>
        <v>Não</v>
      </c>
      <c r="L461" s="26">
        <f t="shared" si="502"/>
        <v>50889</v>
      </c>
      <c r="M461" s="26" t="str">
        <f t="shared" ref="M461" si="514">IF(ISNA(VLOOKUP(L461,$A:$A,1,0)),"Não","Sim")</f>
        <v>Não</v>
      </c>
      <c r="N461" s="26">
        <f t="shared" si="504"/>
        <v>50889</v>
      </c>
    </row>
    <row r="462" spans="1:14" x14ac:dyDescent="0.25">
      <c r="A462" s="39">
        <v>50881</v>
      </c>
      <c r="B462" t="s">
        <v>105</v>
      </c>
      <c r="C462" t="s">
        <v>103</v>
      </c>
      <c r="E462" s="26">
        <v>50891</v>
      </c>
      <c r="F462" s="26">
        <f t="shared" si="497"/>
        <v>50921</v>
      </c>
      <c r="G462" s="19">
        <f t="shared" si="498"/>
        <v>2</v>
      </c>
      <c r="H462" s="26">
        <f t="shared" si="499"/>
        <v>50921</v>
      </c>
      <c r="I462" s="26" t="str">
        <f t="shared" si="500"/>
        <v>Não</v>
      </c>
      <c r="J462" s="26">
        <f t="shared" si="501"/>
        <v>50921</v>
      </c>
      <c r="K462" s="26" t="str">
        <f t="shared" si="500"/>
        <v>Não</v>
      </c>
      <c r="L462" s="26">
        <f t="shared" si="502"/>
        <v>50921</v>
      </c>
      <c r="M462" s="26" t="str">
        <f t="shared" ref="M462" si="515">IF(ISNA(VLOOKUP(L462,$A:$A,1,0)),"Não","Sim")</f>
        <v>Não</v>
      </c>
      <c r="N462" s="26">
        <f t="shared" si="504"/>
        <v>50921</v>
      </c>
    </row>
    <row r="463" spans="1:14" x14ac:dyDescent="0.25">
      <c r="A463" s="39">
        <v>50891</v>
      </c>
      <c r="B463" t="s">
        <v>112</v>
      </c>
      <c r="C463" t="s">
        <v>104</v>
      </c>
      <c r="E463" s="26">
        <v>50922</v>
      </c>
      <c r="F463" s="26">
        <f t="shared" si="497"/>
        <v>50951</v>
      </c>
      <c r="G463" s="19">
        <f t="shared" si="498"/>
        <v>4</v>
      </c>
      <c r="H463" s="26">
        <f t="shared" si="499"/>
        <v>50951</v>
      </c>
      <c r="I463" s="26" t="str">
        <f t="shared" si="500"/>
        <v>Não</v>
      </c>
      <c r="J463" s="26">
        <f t="shared" si="501"/>
        <v>50951</v>
      </c>
      <c r="K463" s="26" t="str">
        <f t="shared" si="500"/>
        <v>Não</v>
      </c>
      <c r="L463" s="26">
        <f t="shared" si="502"/>
        <v>50951</v>
      </c>
      <c r="M463" s="26" t="str">
        <f t="shared" ref="M463" si="516">IF(ISNA(VLOOKUP(L463,$A:$A,1,0)),"Não","Sim")</f>
        <v>Não</v>
      </c>
      <c r="N463" s="26">
        <f t="shared" si="504"/>
        <v>50951</v>
      </c>
    </row>
    <row r="464" spans="1:14" x14ac:dyDescent="0.25">
      <c r="A464" s="39">
        <v>50930</v>
      </c>
      <c r="B464" t="s">
        <v>105</v>
      </c>
      <c r="C464" t="s">
        <v>106</v>
      </c>
      <c r="E464" s="26">
        <v>50952</v>
      </c>
      <c r="F464" s="26">
        <f t="shared" si="497"/>
        <v>50982</v>
      </c>
      <c r="G464" s="19">
        <f t="shared" si="498"/>
        <v>7</v>
      </c>
      <c r="H464" s="26">
        <f t="shared" si="499"/>
        <v>50980</v>
      </c>
      <c r="I464" s="26" t="str">
        <f t="shared" si="500"/>
        <v>Não</v>
      </c>
      <c r="J464" s="26">
        <f t="shared" si="501"/>
        <v>50980</v>
      </c>
      <c r="K464" s="26" t="str">
        <f t="shared" si="500"/>
        <v>Não</v>
      </c>
      <c r="L464" s="26">
        <f t="shared" si="502"/>
        <v>50980</v>
      </c>
      <c r="M464" s="26" t="str">
        <f t="shared" ref="M464" si="517">IF(ISNA(VLOOKUP(L464,$A:$A,1,0)),"Não","Sim")</f>
        <v>Não</v>
      </c>
      <c r="N464" s="26">
        <f t="shared" si="504"/>
        <v>50980</v>
      </c>
    </row>
    <row r="465" spans="1:14" x14ac:dyDescent="0.25">
      <c r="A465" s="39">
        <v>51020</v>
      </c>
      <c r="B465" t="s">
        <v>113</v>
      </c>
      <c r="C465" t="s">
        <v>107</v>
      </c>
      <c r="E465" s="26">
        <v>50983</v>
      </c>
      <c r="F465" s="26">
        <f t="shared" si="497"/>
        <v>51013</v>
      </c>
      <c r="G465" s="19">
        <f t="shared" si="498"/>
        <v>3</v>
      </c>
      <c r="H465" s="26">
        <f t="shared" si="499"/>
        <v>51013</v>
      </c>
      <c r="I465" s="26" t="str">
        <f t="shared" si="500"/>
        <v>Não</v>
      </c>
      <c r="J465" s="26">
        <f t="shared" si="501"/>
        <v>51013</v>
      </c>
      <c r="K465" s="26" t="str">
        <f t="shared" si="500"/>
        <v>Não</v>
      </c>
      <c r="L465" s="26">
        <f t="shared" si="502"/>
        <v>51013</v>
      </c>
      <c r="M465" s="26" t="str">
        <f t="shared" ref="M465" si="518">IF(ISNA(VLOOKUP(L465,$A:$A,1,0)),"Não","Sim")</f>
        <v>Não</v>
      </c>
      <c r="N465" s="26">
        <f t="shared" si="504"/>
        <v>51013</v>
      </c>
    </row>
    <row r="466" spans="1:14" x14ac:dyDescent="0.25">
      <c r="A466" s="39">
        <v>51055</v>
      </c>
      <c r="B466" t="s">
        <v>113</v>
      </c>
      <c r="C466" t="s">
        <v>108</v>
      </c>
      <c r="E466" s="26">
        <v>51014</v>
      </c>
      <c r="F466" s="26">
        <f t="shared" si="497"/>
        <v>51043</v>
      </c>
      <c r="G466" s="19">
        <f t="shared" si="498"/>
        <v>5</v>
      </c>
      <c r="H466" s="26">
        <f t="shared" si="499"/>
        <v>51043</v>
      </c>
      <c r="I466" s="26" t="str">
        <f t="shared" si="500"/>
        <v>Não</v>
      </c>
      <c r="J466" s="26">
        <f t="shared" si="501"/>
        <v>51043</v>
      </c>
      <c r="K466" s="26" t="str">
        <f t="shared" si="500"/>
        <v>Não</v>
      </c>
      <c r="L466" s="26">
        <f t="shared" si="502"/>
        <v>51043</v>
      </c>
      <c r="M466" s="26" t="str">
        <f t="shared" ref="M466" si="519">IF(ISNA(VLOOKUP(L466,$A:$A,1,0)),"Não","Sim")</f>
        <v>Não</v>
      </c>
      <c r="N466" s="26">
        <f t="shared" si="504"/>
        <v>51043</v>
      </c>
    </row>
    <row r="467" spans="1:14" x14ac:dyDescent="0.25">
      <c r="A467" s="39">
        <v>51076</v>
      </c>
      <c r="B467" t="s">
        <v>113</v>
      </c>
      <c r="C467" t="s">
        <v>109</v>
      </c>
      <c r="E467" s="26">
        <v>51044</v>
      </c>
      <c r="F467" s="26">
        <f t="shared" si="497"/>
        <v>51074</v>
      </c>
      <c r="G467" s="19">
        <f t="shared" si="498"/>
        <v>1</v>
      </c>
      <c r="H467" s="26">
        <f t="shared" si="499"/>
        <v>51074</v>
      </c>
      <c r="I467" s="26" t="str">
        <f t="shared" si="500"/>
        <v>Não</v>
      </c>
      <c r="J467" s="26">
        <f t="shared" si="501"/>
        <v>51074</v>
      </c>
      <c r="K467" s="26" t="str">
        <f t="shared" si="500"/>
        <v>Não</v>
      </c>
      <c r="L467" s="26">
        <f t="shared" si="502"/>
        <v>51074</v>
      </c>
      <c r="M467" s="26" t="str">
        <f t="shared" ref="M467" si="520">IF(ISNA(VLOOKUP(L467,$A:$A,1,0)),"Não","Sim")</f>
        <v>Não</v>
      </c>
      <c r="N467" s="26">
        <f t="shared" si="504"/>
        <v>51074</v>
      </c>
    </row>
    <row r="468" spans="1:14" x14ac:dyDescent="0.25">
      <c r="A468" s="39">
        <v>51089</v>
      </c>
      <c r="B468" t="s">
        <v>99</v>
      </c>
      <c r="C468" t="s">
        <v>110</v>
      </c>
      <c r="E468" s="26">
        <v>51075</v>
      </c>
      <c r="F468" s="26">
        <f t="shared" si="497"/>
        <v>51104</v>
      </c>
      <c r="G468" s="19">
        <f t="shared" si="498"/>
        <v>3</v>
      </c>
      <c r="H468" s="26">
        <f t="shared" si="499"/>
        <v>51104</v>
      </c>
      <c r="I468" s="26" t="str">
        <f t="shared" si="500"/>
        <v>Não</v>
      </c>
      <c r="J468" s="26">
        <f t="shared" si="501"/>
        <v>51104</v>
      </c>
      <c r="K468" s="26" t="str">
        <f t="shared" si="500"/>
        <v>Não</v>
      </c>
      <c r="L468" s="26">
        <f t="shared" si="502"/>
        <v>51104</v>
      </c>
      <c r="M468" s="26" t="str">
        <f t="shared" ref="M468" si="521">IF(ISNA(VLOOKUP(L468,$A:$A,1,0)),"Não","Sim")</f>
        <v>Não</v>
      </c>
      <c r="N468" s="26">
        <f t="shared" si="504"/>
        <v>51104</v>
      </c>
    </row>
    <row r="469" spans="1:14" x14ac:dyDescent="0.25">
      <c r="A469" s="39">
        <v>51129</v>
      </c>
      <c r="B469" t="s">
        <v>112</v>
      </c>
      <c r="C469" t="s">
        <v>111</v>
      </c>
      <c r="E469" s="26">
        <v>51105</v>
      </c>
      <c r="F469" s="26">
        <f t="shared" si="497"/>
        <v>51135</v>
      </c>
      <c r="G469" s="19">
        <f t="shared" si="498"/>
        <v>6</v>
      </c>
      <c r="H469" s="26">
        <f t="shared" si="499"/>
        <v>51134</v>
      </c>
      <c r="I469" s="26" t="str">
        <f t="shared" si="500"/>
        <v>Não</v>
      </c>
      <c r="J469" s="26">
        <f t="shared" si="501"/>
        <v>51134</v>
      </c>
      <c r="K469" s="26" t="str">
        <f t="shared" si="500"/>
        <v>Não</v>
      </c>
      <c r="L469" s="26">
        <f t="shared" si="502"/>
        <v>51134</v>
      </c>
      <c r="M469" s="26" t="str">
        <f t="shared" ref="M469" si="522">IF(ISNA(VLOOKUP(L469,$A:$A,1,0)),"Não","Sim")</f>
        <v>Não</v>
      </c>
      <c r="N469" s="26">
        <f t="shared" si="504"/>
        <v>51134</v>
      </c>
    </row>
    <row r="470" spans="1:14" x14ac:dyDescent="0.25">
      <c r="A470" s="39">
        <v>51136</v>
      </c>
      <c r="B470" t="s">
        <v>112</v>
      </c>
      <c r="C470" t="s">
        <v>97</v>
      </c>
      <c r="E470" s="26">
        <v>51136</v>
      </c>
      <c r="F470" s="26">
        <f t="shared" si="497"/>
        <v>51166</v>
      </c>
      <c r="G470" s="19">
        <f t="shared" si="498"/>
        <v>2</v>
      </c>
      <c r="H470" s="26">
        <f t="shared" si="499"/>
        <v>51166</v>
      </c>
      <c r="I470" s="26" t="str">
        <f t="shared" si="500"/>
        <v>Não</v>
      </c>
      <c r="J470" s="26">
        <f t="shared" si="501"/>
        <v>51166</v>
      </c>
      <c r="K470" s="26" t="str">
        <f t="shared" si="500"/>
        <v>Não</v>
      </c>
      <c r="L470" s="26">
        <f t="shared" si="502"/>
        <v>51166</v>
      </c>
      <c r="M470" s="26" t="str">
        <f t="shared" ref="M470" si="523">IF(ISNA(VLOOKUP(L470,$A:$A,1,0)),"Não","Sim")</f>
        <v>Não</v>
      </c>
      <c r="N470" s="26">
        <f t="shared" si="504"/>
        <v>51166</v>
      </c>
    </row>
    <row r="471" spans="1:14" x14ac:dyDescent="0.25">
      <c r="A471" s="39">
        <v>51179</v>
      </c>
      <c r="B471" t="s">
        <v>96</v>
      </c>
      <c r="C471" t="s">
        <v>98</v>
      </c>
      <c r="E471" s="26">
        <v>51167</v>
      </c>
      <c r="F471" s="26">
        <f t="shared" si="497"/>
        <v>51195</v>
      </c>
      <c r="G471" s="19">
        <f t="shared" si="498"/>
        <v>3</v>
      </c>
      <c r="H471" s="26">
        <f t="shared" si="499"/>
        <v>51195</v>
      </c>
      <c r="I471" s="26" t="str">
        <f t="shared" si="500"/>
        <v>Não</v>
      </c>
      <c r="J471" s="26">
        <f t="shared" si="501"/>
        <v>51195</v>
      </c>
      <c r="K471" s="26" t="str">
        <f t="shared" si="500"/>
        <v>Não</v>
      </c>
      <c r="L471" s="26">
        <f t="shared" si="502"/>
        <v>51195</v>
      </c>
      <c r="M471" s="26" t="str">
        <f t="shared" ref="M471" si="524">IF(ISNA(VLOOKUP(L471,$A:$A,1,0)),"Não","Sim")</f>
        <v>Não</v>
      </c>
      <c r="N471" s="26">
        <f t="shared" si="504"/>
        <v>51195</v>
      </c>
    </row>
    <row r="472" spans="1:14" x14ac:dyDescent="0.25">
      <c r="A472" s="39">
        <v>51180</v>
      </c>
      <c r="B472" t="s">
        <v>99</v>
      </c>
      <c r="C472" t="s">
        <v>98</v>
      </c>
      <c r="E472" s="26">
        <v>51196</v>
      </c>
      <c r="F472" s="26">
        <f t="shared" si="497"/>
        <v>51226</v>
      </c>
      <c r="G472" s="19">
        <f t="shared" si="498"/>
        <v>6</v>
      </c>
      <c r="H472" s="26">
        <f t="shared" si="499"/>
        <v>51225</v>
      </c>
      <c r="I472" s="26" t="str">
        <f t="shared" si="500"/>
        <v>Sim</v>
      </c>
      <c r="J472" s="26">
        <f t="shared" si="501"/>
        <v>51224</v>
      </c>
      <c r="K472" s="26" t="str">
        <f t="shared" si="500"/>
        <v>Não</v>
      </c>
      <c r="L472" s="26">
        <f t="shared" si="502"/>
        <v>51224</v>
      </c>
      <c r="M472" s="26" t="str">
        <f t="shared" ref="M472" si="525">IF(ISNA(VLOOKUP(L472,$A:$A,1,0)),"Não","Sim")</f>
        <v>Não</v>
      </c>
      <c r="N472" s="26">
        <f t="shared" si="504"/>
        <v>51224</v>
      </c>
    </row>
    <row r="473" spans="1:14" x14ac:dyDescent="0.25">
      <c r="A473" s="39">
        <v>51225</v>
      </c>
      <c r="B473" t="s">
        <v>100</v>
      </c>
      <c r="C473" t="s">
        <v>101</v>
      </c>
      <c r="E473" s="26">
        <v>51227</v>
      </c>
      <c r="F473" s="26">
        <f t="shared" si="497"/>
        <v>51256</v>
      </c>
      <c r="G473" s="19">
        <f t="shared" si="498"/>
        <v>1</v>
      </c>
      <c r="H473" s="26">
        <f t="shared" si="499"/>
        <v>51256</v>
      </c>
      <c r="I473" s="26" t="str">
        <f t="shared" si="500"/>
        <v>Não</v>
      </c>
      <c r="J473" s="26">
        <f t="shared" si="501"/>
        <v>51256</v>
      </c>
      <c r="K473" s="26" t="str">
        <f t="shared" si="500"/>
        <v>Não</v>
      </c>
      <c r="L473" s="26">
        <f t="shared" si="502"/>
        <v>51256</v>
      </c>
      <c r="M473" s="26" t="str">
        <f t="shared" ref="M473" si="526">IF(ISNA(VLOOKUP(L473,$A:$A,1,0)),"Não","Sim")</f>
        <v>Não</v>
      </c>
      <c r="N473" s="26">
        <f t="shared" si="504"/>
        <v>51256</v>
      </c>
    </row>
    <row r="474" spans="1:14" x14ac:dyDescent="0.25">
      <c r="A474" s="39">
        <v>51247</v>
      </c>
      <c r="B474" t="s">
        <v>102</v>
      </c>
      <c r="C474" t="s">
        <v>103</v>
      </c>
      <c r="E474" s="26">
        <v>51257</v>
      </c>
      <c r="F474" s="26">
        <f t="shared" si="497"/>
        <v>51287</v>
      </c>
      <c r="G474" s="19">
        <f t="shared" si="498"/>
        <v>4</v>
      </c>
      <c r="H474" s="26">
        <f t="shared" si="499"/>
        <v>51287</v>
      </c>
      <c r="I474" s="26" t="str">
        <f t="shared" si="500"/>
        <v>Sim</v>
      </c>
      <c r="J474" s="26">
        <f t="shared" si="501"/>
        <v>51286</v>
      </c>
      <c r="K474" s="26" t="str">
        <f t="shared" si="500"/>
        <v>Não</v>
      </c>
      <c r="L474" s="26">
        <f t="shared" si="502"/>
        <v>51286</v>
      </c>
      <c r="M474" s="26" t="str">
        <f t="shared" ref="M474" si="527">IF(ISNA(VLOOKUP(L474,$A:$A,1,0)),"Não","Sim")</f>
        <v>Não</v>
      </c>
      <c r="N474" s="26">
        <f t="shared" si="504"/>
        <v>51286</v>
      </c>
    </row>
    <row r="475" spans="1:14" x14ac:dyDescent="0.25">
      <c r="A475" s="39">
        <v>51257</v>
      </c>
      <c r="B475" t="s">
        <v>99</v>
      </c>
      <c r="C475" t="s">
        <v>104</v>
      </c>
      <c r="E475" s="26">
        <v>51288</v>
      </c>
      <c r="F475" s="26">
        <f t="shared" si="497"/>
        <v>51317</v>
      </c>
      <c r="G475" s="19">
        <f t="shared" si="498"/>
        <v>6</v>
      </c>
      <c r="H475" s="26">
        <f t="shared" si="499"/>
        <v>51316</v>
      </c>
      <c r="I475" s="26" t="str">
        <f t="shared" si="500"/>
        <v>Não</v>
      </c>
      <c r="J475" s="26">
        <f t="shared" si="501"/>
        <v>51316</v>
      </c>
      <c r="K475" s="26" t="str">
        <f t="shared" si="500"/>
        <v>Não</v>
      </c>
      <c r="L475" s="26">
        <f t="shared" si="502"/>
        <v>51316</v>
      </c>
      <c r="M475" s="26" t="str">
        <f t="shared" ref="M475" si="528">IF(ISNA(VLOOKUP(L475,$A:$A,1,0)),"Não","Sim")</f>
        <v>Não</v>
      </c>
      <c r="N475" s="26">
        <f t="shared" si="504"/>
        <v>51316</v>
      </c>
    </row>
    <row r="476" spans="1:14" x14ac:dyDescent="0.25">
      <c r="A476" s="39">
        <v>51287</v>
      </c>
      <c r="B476" t="s">
        <v>105</v>
      </c>
      <c r="C476" t="s">
        <v>106</v>
      </c>
      <c r="E476" s="26">
        <v>51318</v>
      </c>
      <c r="F476" s="26">
        <f t="shared" si="497"/>
        <v>51348</v>
      </c>
      <c r="G476" s="19">
        <f t="shared" si="498"/>
        <v>2</v>
      </c>
      <c r="H476" s="26">
        <f t="shared" si="499"/>
        <v>51348</v>
      </c>
      <c r="I476" s="26" t="str">
        <f t="shared" si="500"/>
        <v>Não</v>
      </c>
      <c r="J476" s="26">
        <f t="shared" si="501"/>
        <v>51348</v>
      </c>
      <c r="K476" s="26" t="str">
        <f t="shared" si="500"/>
        <v>Não</v>
      </c>
      <c r="L476" s="26">
        <f t="shared" si="502"/>
        <v>51348</v>
      </c>
      <c r="M476" s="26" t="str">
        <f t="shared" ref="M476" si="529">IF(ISNA(VLOOKUP(L476,$A:$A,1,0)),"Não","Sim")</f>
        <v>Não</v>
      </c>
      <c r="N476" s="26">
        <f t="shared" si="504"/>
        <v>51348</v>
      </c>
    </row>
    <row r="477" spans="1:14" x14ac:dyDescent="0.25">
      <c r="A477" s="39">
        <v>51386</v>
      </c>
      <c r="B477" t="s">
        <v>100</v>
      </c>
      <c r="C477" t="s">
        <v>107</v>
      </c>
      <c r="E477" s="26">
        <v>51349</v>
      </c>
      <c r="F477" s="26">
        <f t="shared" si="497"/>
        <v>51379</v>
      </c>
      <c r="G477" s="19">
        <f t="shared" si="498"/>
        <v>5</v>
      </c>
      <c r="H477" s="26">
        <f t="shared" si="499"/>
        <v>51379</v>
      </c>
      <c r="I477" s="26" t="str">
        <f t="shared" si="500"/>
        <v>Não</v>
      </c>
      <c r="J477" s="26">
        <f t="shared" si="501"/>
        <v>51379</v>
      </c>
      <c r="K477" s="26" t="str">
        <f t="shared" si="500"/>
        <v>Não</v>
      </c>
      <c r="L477" s="26">
        <f t="shared" si="502"/>
        <v>51379</v>
      </c>
      <c r="M477" s="26" t="str">
        <f t="shared" ref="M477" si="530">IF(ISNA(VLOOKUP(L477,$A:$A,1,0)),"Não","Sim")</f>
        <v>Não</v>
      </c>
      <c r="N477" s="26">
        <f t="shared" si="504"/>
        <v>51379</v>
      </c>
    </row>
    <row r="478" spans="1:14" x14ac:dyDescent="0.25">
      <c r="A478" s="39">
        <v>51421</v>
      </c>
      <c r="B478" t="s">
        <v>100</v>
      </c>
      <c r="C478" t="s">
        <v>108</v>
      </c>
      <c r="E478" s="26">
        <v>51380</v>
      </c>
      <c r="F478" s="26">
        <f t="shared" si="497"/>
        <v>51409</v>
      </c>
      <c r="G478" s="19">
        <f t="shared" si="498"/>
        <v>7</v>
      </c>
      <c r="H478" s="26">
        <f t="shared" si="499"/>
        <v>51407</v>
      </c>
      <c r="I478" s="26" t="str">
        <f t="shared" si="500"/>
        <v>Não</v>
      </c>
      <c r="J478" s="26">
        <f t="shared" si="501"/>
        <v>51407</v>
      </c>
      <c r="K478" s="26" t="str">
        <f t="shared" si="500"/>
        <v>Não</v>
      </c>
      <c r="L478" s="26">
        <f t="shared" si="502"/>
        <v>51407</v>
      </c>
      <c r="M478" s="26" t="str">
        <f t="shared" ref="M478" si="531">IF(ISNA(VLOOKUP(L478,$A:$A,1,0)),"Não","Sim")</f>
        <v>Não</v>
      </c>
      <c r="N478" s="26">
        <f t="shared" si="504"/>
        <v>51407</v>
      </c>
    </row>
    <row r="479" spans="1:14" x14ac:dyDescent="0.25">
      <c r="A479" s="39">
        <v>51442</v>
      </c>
      <c r="B479" t="s">
        <v>100</v>
      </c>
      <c r="C479" t="s">
        <v>109</v>
      </c>
      <c r="E479" s="26">
        <v>51410</v>
      </c>
      <c r="F479" s="26">
        <f t="shared" si="497"/>
        <v>51440</v>
      </c>
      <c r="G479" s="19">
        <f t="shared" si="498"/>
        <v>3</v>
      </c>
      <c r="H479" s="26">
        <f t="shared" si="499"/>
        <v>51440</v>
      </c>
      <c r="I479" s="26" t="str">
        <f t="shared" si="500"/>
        <v>Não</v>
      </c>
      <c r="J479" s="26">
        <f t="shared" si="501"/>
        <v>51440</v>
      </c>
      <c r="K479" s="26" t="str">
        <f t="shared" si="500"/>
        <v>Não</v>
      </c>
      <c r="L479" s="26">
        <f t="shared" si="502"/>
        <v>51440</v>
      </c>
      <c r="M479" s="26" t="str">
        <f t="shared" ref="M479" si="532">IF(ISNA(VLOOKUP(L479,$A:$A,1,0)),"Não","Sim")</f>
        <v>Não</v>
      </c>
      <c r="N479" s="26">
        <f t="shared" si="504"/>
        <v>51440</v>
      </c>
    </row>
    <row r="480" spans="1:14" x14ac:dyDescent="0.25">
      <c r="A480" s="39">
        <v>51455</v>
      </c>
      <c r="B480" t="s">
        <v>105</v>
      </c>
      <c r="C480" t="s">
        <v>110</v>
      </c>
      <c r="E480" s="26">
        <v>51441</v>
      </c>
      <c r="F480" s="26">
        <f t="shared" si="497"/>
        <v>51470</v>
      </c>
      <c r="G480" s="19">
        <f t="shared" si="498"/>
        <v>5</v>
      </c>
      <c r="H480" s="26">
        <f t="shared" si="499"/>
        <v>51470</v>
      </c>
      <c r="I480" s="26" t="str">
        <f t="shared" si="500"/>
        <v>Não</v>
      </c>
      <c r="J480" s="26">
        <f t="shared" si="501"/>
        <v>51470</v>
      </c>
      <c r="K480" s="26" t="str">
        <f t="shared" si="500"/>
        <v>Não</v>
      </c>
      <c r="L480" s="26">
        <f t="shared" si="502"/>
        <v>51470</v>
      </c>
      <c r="M480" s="26" t="str">
        <f t="shared" ref="M480" si="533">IF(ISNA(VLOOKUP(L480,$A:$A,1,0)),"Não","Sim")</f>
        <v>Não</v>
      </c>
      <c r="N480" s="26">
        <f t="shared" si="504"/>
        <v>51470</v>
      </c>
    </row>
    <row r="481" spans="1:14" x14ac:dyDescent="0.25">
      <c r="A481" s="39">
        <v>51495</v>
      </c>
      <c r="B481" t="s">
        <v>99</v>
      </c>
      <c r="C481" t="s">
        <v>111</v>
      </c>
      <c r="E481" s="26">
        <v>51471</v>
      </c>
      <c r="F481" s="26">
        <f t="shared" si="497"/>
        <v>51501</v>
      </c>
      <c r="G481" s="19">
        <f t="shared" si="498"/>
        <v>1</v>
      </c>
      <c r="H481" s="26">
        <f t="shared" si="499"/>
        <v>51501</v>
      </c>
      <c r="I481" s="26" t="str">
        <f t="shared" si="500"/>
        <v>Não</v>
      </c>
      <c r="J481" s="26">
        <f t="shared" si="501"/>
        <v>51501</v>
      </c>
      <c r="K481" s="26" t="str">
        <f t="shared" si="500"/>
        <v>Não</v>
      </c>
      <c r="L481" s="26">
        <f t="shared" si="502"/>
        <v>51501</v>
      </c>
      <c r="M481" s="26" t="str">
        <f t="shared" ref="M481" si="534">IF(ISNA(VLOOKUP(L481,$A:$A,1,0)),"Não","Sim")</f>
        <v>Não</v>
      </c>
      <c r="N481" s="26">
        <f t="shared" si="504"/>
        <v>51501</v>
      </c>
    </row>
    <row r="482" spans="1:14" x14ac:dyDescent="0.25">
      <c r="A482" s="39"/>
    </row>
    <row r="483" spans="1:14" x14ac:dyDescent="0.25">
      <c r="A483" s="39"/>
    </row>
    <row r="484" spans="1:14" x14ac:dyDescent="0.25">
      <c r="A484" s="39"/>
    </row>
    <row r="485" spans="1:14" x14ac:dyDescent="0.25">
      <c r="A485" s="39"/>
    </row>
    <row r="486" spans="1:14" x14ac:dyDescent="0.25">
      <c r="A486" s="39"/>
    </row>
    <row r="487" spans="1:14" x14ac:dyDescent="0.25">
      <c r="A487" s="39"/>
    </row>
    <row r="488" spans="1:14" x14ac:dyDescent="0.25">
      <c r="A488" s="39"/>
    </row>
    <row r="489" spans="1:14" x14ac:dyDescent="0.25">
      <c r="A489" s="39"/>
    </row>
    <row r="490" spans="1:14" x14ac:dyDescent="0.25">
      <c r="A490" s="39"/>
    </row>
    <row r="491" spans="1:14" x14ac:dyDescent="0.25">
      <c r="A491" s="39"/>
    </row>
    <row r="492" spans="1:14" x14ac:dyDescent="0.25">
      <c r="A492" s="39"/>
    </row>
    <row r="493" spans="1:14" x14ac:dyDescent="0.25">
      <c r="A493" s="39"/>
    </row>
    <row r="494" spans="1:14" x14ac:dyDescent="0.25">
      <c r="A494" s="39"/>
    </row>
    <row r="495" spans="1:14" x14ac:dyDescent="0.25">
      <c r="A495" s="39"/>
    </row>
    <row r="496" spans="1:14" x14ac:dyDescent="0.25">
      <c r="A496" s="39"/>
    </row>
    <row r="497" spans="1:1" x14ac:dyDescent="0.25">
      <c r="A497" s="39"/>
    </row>
    <row r="498" spans="1:1" x14ac:dyDescent="0.25">
      <c r="A498" s="39"/>
    </row>
    <row r="499" spans="1:1" x14ac:dyDescent="0.25">
      <c r="A499" s="39"/>
    </row>
    <row r="500" spans="1:1" x14ac:dyDescent="0.25">
      <c r="A500" s="39"/>
    </row>
    <row r="501" spans="1:1" x14ac:dyDescent="0.25">
      <c r="A501" s="39"/>
    </row>
    <row r="502" spans="1:1" x14ac:dyDescent="0.25">
      <c r="A502" s="39"/>
    </row>
    <row r="503" spans="1:1" x14ac:dyDescent="0.25">
      <c r="A503" s="39"/>
    </row>
    <row r="504" spans="1:1" x14ac:dyDescent="0.25">
      <c r="A504" s="39"/>
    </row>
    <row r="505" spans="1:1" x14ac:dyDescent="0.25">
      <c r="A505" s="39"/>
    </row>
    <row r="506" spans="1:1" x14ac:dyDescent="0.25">
      <c r="A506" s="39"/>
    </row>
    <row r="507" spans="1:1" x14ac:dyDescent="0.25">
      <c r="A507" s="39"/>
    </row>
    <row r="508" spans="1:1" x14ac:dyDescent="0.25">
      <c r="A508" s="39"/>
    </row>
    <row r="509" spans="1:1" x14ac:dyDescent="0.25">
      <c r="A509" s="39"/>
    </row>
    <row r="510" spans="1:1" x14ac:dyDescent="0.25">
      <c r="A510" s="39"/>
    </row>
    <row r="511" spans="1:1" x14ac:dyDescent="0.25">
      <c r="A511" s="39"/>
    </row>
    <row r="512" spans="1:1" x14ac:dyDescent="0.25">
      <c r="A512" s="39"/>
    </row>
    <row r="513" spans="1:1" x14ac:dyDescent="0.25">
      <c r="A513" s="39"/>
    </row>
    <row r="514" spans="1:1" x14ac:dyDescent="0.25">
      <c r="A514" s="39"/>
    </row>
    <row r="515" spans="1:1" x14ac:dyDescent="0.25">
      <c r="A515" s="39"/>
    </row>
    <row r="516" spans="1:1" x14ac:dyDescent="0.25">
      <c r="A516" s="39"/>
    </row>
    <row r="517" spans="1:1" x14ac:dyDescent="0.25">
      <c r="A517" s="39"/>
    </row>
    <row r="518" spans="1:1" x14ac:dyDescent="0.25">
      <c r="A518" s="39"/>
    </row>
    <row r="519" spans="1:1" x14ac:dyDescent="0.25">
      <c r="A519" s="39"/>
    </row>
    <row r="520" spans="1:1" x14ac:dyDescent="0.25">
      <c r="A520" s="39"/>
    </row>
    <row r="521" spans="1:1" x14ac:dyDescent="0.25">
      <c r="A521" s="39"/>
    </row>
    <row r="522" spans="1:1" x14ac:dyDescent="0.25">
      <c r="A522" s="39"/>
    </row>
    <row r="523" spans="1:1" x14ac:dyDescent="0.25">
      <c r="A523" s="39"/>
    </row>
    <row r="524" spans="1:1" x14ac:dyDescent="0.25">
      <c r="A524" s="39"/>
    </row>
    <row r="525" spans="1:1" x14ac:dyDescent="0.25">
      <c r="A525" s="39"/>
    </row>
    <row r="526" spans="1:1" x14ac:dyDescent="0.25">
      <c r="A526" s="39"/>
    </row>
    <row r="527" spans="1:1" x14ac:dyDescent="0.25">
      <c r="A527" s="39"/>
    </row>
    <row r="528" spans="1:1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C6C88-528B-4874-AB54-EE92886FC100}">
  <sheetPr codeName="Planilha12"/>
  <dimension ref="A1:C714"/>
  <sheetViews>
    <sheetView workbookViewId="0">
      <pane ySplit="1" topLeftCell="A697" activePane="bottomLeft" state="frozen"/>
      <selection pane="bottomLeft" activeCell="B712" sqref="B712"/>
    </sheetView>
  </sheetViews>
  <sheetFormatPr defaultRowHeight="15" x14ac:dyDescent="0.25"/>
  <cols>
    <col min="1" max="1" width="14.140625" style="3" bestFit="1" customWidth="1"/>
    <col min="2" max="2" width="18" style="3" bestFit="1" customWidth="1"/>
    <col min="3" max="3" width="86.28515625" style="3" bestFit="1" customWidth="1"/>
  </cols>
  <sheetData>
    <row r="1" spans="1:3" x14ac:dyDescent="0.25">
      <c r="A1" s="5" t="s">
        <v>4</v>
      </c>
      <c r="B1" s="5" t="s">
        <v>128</v>
      </c>
      <c r="C1" s="5" t="s">
        <v>131</v>
      </c>
    </row>
    <row r="2" spans="1:3" x14ac:dyDescent="0.25">
      <c r="A2" s="3" t="s">
        <v>132</v>
      </c>
      <c r="B2" s="3" t="s">
        <v>133</v>
      </c>
      <c r="C2" s="3" t="s">
        <v>134</v>
      </c>
    </row>
    <row r="3" spans="1:3" x14ac:dyDescent="0.25">
      <c r="A3" s="3" t="s">
        <v>135</v>
      </c>
      <c r="B3" s="3" t="s">
        <v>136</v>
      </c>
      <c r="C3" s="3" t="s">
        <v>137</v>
      </c>
    </row>
    <row r="4" spans="1:3" x14ac:dyDescent="0.25">
      <c r="A4" s="3" t="s">
        <v>138</v>
      </c>
      <c r="B4" s="3" t="s">
        <v>139</v>
      </c>
      <c r="C4" s="3" t="s">
        <v>140</v>
      </c>
    </row>
    <row r="5" spans="1:3" x14ac:dyDescent="0.25">
      <c r="A5" s="3" t="s">
        <v>141</v>
      </c>
      <c r="B5" s="3" t="s">
        <v>142</v>
      </c>
      <c r="C5" s="3" t="s">
        <v>143</v>
      </c>
    </row>
    <row r="6" spans="1:3" x14ac:dyDescent="0.25">
      <c r="A6" s="3" t="s">
        <v>144</v>
      </c>
      <c r="B6" s="3" t="s">
        <v>145</v>
      </c>
      <c r="C6" s="3" t="s">
        <v>146</v>
      </c>
    </row>
    <row r="7" spans="1:3" x14ac:dyDescent="0.25">
      <c r="A7" s="3" t="s">
        <v>147</v>
      </c>
      <c r="B7" s="3" t="s">
        <v>145</v>
      </c>
      <c r="C7" s="3" t="s">
        <v>146</v>
      </c>
    </row>
    <row r="8" spans="1:3" x14ac:dyDescent="0.25">
      <c r="A8" s="3" t="s">
        <v>148</v>
      </c>
      <c r="B8" s="3" t="s">
        <v>149</v>
      </c>
      <c r="C8" s="3" t="s">
        <v>150</v>
      </c>
    </row>
    <row r="9" spans="1:3" x14ac:dyDescent="0.25">
      <c r="A9" s="3" t="s">
        <v>151</v>
      </c>
      <c r="B9" s="3" t="s">
        <v>152</v>
      </c>
      <c r="C9" s="3" t="s">
        <v>153</v>
      </c>
    </row>
    <row r="10" spans="1:3" x14ac:dyDescent="0.25">
      <c r="A10" s="3" t="s">
        <v>154</v>
      </c>
      <c r="B10" s="3" t="s">
        <v>155</v>
      </c>
      <c r="C10" s="3" t="s">
        <v>156</v>
      </c>
    </row>
    <row r="11" spans="1:3" x14ac:dyDescent="0.25">
      <c r="A11" s="3" t="s">
        <v>157</v>
      </c>
      <c r="B11" s="3" t="s">
        <v>158</v>
      </c>
      <c r="C11" s="3" t="s">
        <v>159</v>
      </c>
    </row>
    <row r="12" spans="1:3" x14ac:dyDescent="0.25">
      <c r="A12" s="3" t="s">
        <v>160</v>
      </c>
      <c r="B12" s="3" t="s">
        <v>158</v>
      </c>
      <c r="C12" s="3" t="s">
        <v>159</v>
      </c>
    </row>
    <row r="13" spans="1:3" x14ac:dyDescent="0.25">
      <c r="A13" s="3" t="s">
        <v>161</v>
      </c>
      <c r="B13" s="3" t="s">
        <v>158</v>
      </c>
      <c r="C13" s="3" t="s">
        <v>159</v>
      </c>
    </row>
    <row r="14" spans="1:3" x14ac:dyDescent="0.25">
      <c r="A14" s="3" t="s">
        <v>162</v>
      </c>
      <c r="B14" s="3" t="s">
        <v>158</v>
      </c>
      <c r="C14" s="3" t="s">
        <v>159</v>
      </c>
    </row>
    <row r="15" spans="1:3" x14ac:dyDescent="0.25">
      <c r="A15" s="3" t="s">
        <v>163</v>
      </c>
      <c r="B15" s="3" t="s">
        <v>158</v>
      </c>
      <c r="C15" s="3" t="s">
        <v>159</v>
      </c>
    </row>
    <row r="16" spans="1:3" x14ac:dyDescent="0.25">
      <c r="A16" s="3" t="s">
        <v>164</v>
      </c>
      <c r="B16" s="3" t="s">
        <v>158</v>
      </c>
      <c r="C16" s="3" t="s">
        <v>159</v>
      </c>
    </row>
    <row r="17" spans="1:3" x14ac:dyDescent="0.25">
      <c r="A17" s="3" t="s">
        <v>165</v>
      </c>
      <c r="B17" s="3" t="s">
        <v>166</v>
      </c>
      <c r="C17" s="3" t="s">
        <v>167</v>
      </c>
    </row>
    <row r="18" spans="1:3" x14ac:dyDescent="0.25">
      <c r="A18" s="3" t="s">
        <v>168</v>
      </c>
      <c r="B18" s="3" t="s">
        <v>169</v>
      </c>
      <c r="C18" s="3" t="s">
        <v>170</v>
      </c>
    </row>
    <row r="19" spans="1:3" x14ac:dyDescent="0.25">
      <c r="A19" s="3" t="s">
        <v>171</v>
      </c>
      <c r="B19" s="3" t="s">
        <v>172</v>
      </c>
      <c r="C19" s="3" t="s">
        <v>173</v>
      </c>
    </row>
    <row r="20" spans="1:3" x14ac:dyDescent="0.25">
      <c r="A20" s="3" t="s">
        <v>174</v>
      </c>
      <c r="B20" s="3" t="s">
        <v>172</v>
      </c>
      <c r="C20" s="3" t="s">
        <v>173</v>
      </c>
    </row>
    <row r="21" spans="1:3" x14ac:dyDescent="0.25">
      <c r="A21" s="3" t="s">
        <v>175</v>
      </c>
      <c r="B21" s="3" t="s">
        <v>176</v>
      </c>
      <c r="C21" s="3" t="s">
        <v>177</v>
      </c>
    </row>
    <row r="22" spans="1:3" x14ac:dyDescent="0.25">
      <c r="A22" s="3" t="s">
        <v>178</v>
      </c>
      <c r="B22" s="3" t="s">
        <v>179</v>
      </c>
      <c r="C22" s="3" t="s">
        <v>180</v>
      </c>
    </row>
    <row r="23" spans="1:3" x14ac:dyDescent="0.25">
      <c r="A23" s="3" t="s">
        <v>181</v>
      </c>
      <c r="B23" s="3" t="s">
        <v>179</v>
      </c>
      <c r="C23" s="3" t="s">
        <v>180</v>
      </c>
    </row>
    <row r="24" spans="1:3" x14ac:dyDescent="0.25">
      <c r="A24" s="3" t="s">
        <v>182</v>
      </c>
      <c r="B24" s="3" t="s">
        <v>179</v>
      </c>
      <c r="C24" s="3" t="s">
        <v>180</v>
      </c>
    </row>
    <row r="25" spans="1:3" x14ac:dyDescent="0.25">
      <c r="A25" s="3" t="s">
        <v>183</v>
      </c>
      <c r="B25" s="3" t="s">
        <v>184</v>
      </c>
      <c r="C25" s="3" t="s">
        <v>185</v>
      </c>
    </row>
    <row r="26" spans="1:3" x14ac:dyDescent="0.25">
      <c r="A26" s="3" t="s">
        <v>186</v>
      </c>
      <c r="B26" s="3" t="s">
        <v>187</v>
      </c>
      <c r="C26" s="3" t="s">
        <v>188</v>
      </c>
    </row>
    <row r="27" spans="1:3" x14ac:dyDescent="0.25">
      <c r="A27" s="3" t="s">
        <v>189</v>
      </c>
      <c r="B27" s="3" t="s">
        <v>190</v>
      </c>
      <c r="C27" s="3" t="s">
        <v>191</v>
      </c>
    </row>
    <row r="28" spans="1:3" x14ac:dyDescent="0.25">
      <c r="A28" s="3" t="s">
        <v>192</v>
      </c>
      <c r="B28" s="3" t="s">
        <v>193</v>
      </c>
      <c r="C28" s="3" t="s">
        <v>194</v>
      </c>
    </row>
    <row r="29" spans="1:3" x14ac:dyDescent="0.25">
      <c r="A29" s="3" t="s">
        <v>195</v>
      </c>
      <c r="B29" s="3" t="s">
        <v>196</v>
      </c>
      <c r="C29" s="3" t="s">
        <v>197</v>
      </c>
    </row>
    <row r="30" spans="1:3" x14ac:dyDescent="0.25">
      <c r="A30" s="3" t="s">
        <v>198</v>
      </c>
      <c r="B30" s="3" t="s">
        <v>199</v>
      </c>
      <c r="C30" s="3" t="s">
        <v>200</v>
      </c>
    </row>
    <row r="31" spans="1:3" x14ac:dyDescent="0.25">
      <c r="A31" s="3" t="s">
        <v>201</v>
      </c>
      <c r="B31" s="3" t="s">
        <v>202</v>
      </c>
      <c r="C31" s="3" t="s">
        <v>203</v>
      </c>
    </row>
    <row r="32" spans="1:3" x14ac:dyDescent="0.25">
      <c r="A32" s="3" t="s">
        <v>204</v>
      </c>
      <c r="B32" s="3" t="s">
        <v>205</v>
      </c>
      <c r="C32" s="3" t="s">
        <v>206</v>
      </c>
    </row>
    <row r="33" spans="1:3" x14ac:dyDescent="0.25">
      <c r="A33" s="3" t="s">
        <v>207</v>
      </c>
      <c r="B33" s="3" t="s">
        <v>205</v>
      </c>
      <c r="C33" s="3" t="s">
        <v>206</v>
      </c>
    </row>
    <row r="34" spans="1:3" x14ac:dyDescent="0.25">
      <c r="A34" s="3" t="s">
        <v>208</v>
      </c>
      <c r="B34" s="3" t="s">
        <v>209</v>
      </c>
      <c r="C34" s="3" t="s">
        <v>210</v>
      </c>
    </row>
    <row r="35" spans="1:3" x14ac:dyDescent="0.25">
      <c r="A35" s="3" t="s">
        <v>211</v>
      </c>
      <c r="B35" s="3" t="s">
        <v>212</v>
      </c>
      <c r="C35" s="3" t="s">
        <v>213</v>
      </c>
    </row>
    <row r="36" spans="1:3" x14ac:dyDescent="0.25">
      <c r="A36" s="3" t="s">
        <v>214</v>
      </c>
      <c r="B36" s="3" t="s">
        <v>215</v>
      </c>
      <c r="C36" s="3" t="s">
        <v>216</v>
      </c>
    </row>
    <row r="37" spans="1:3" x14ac:dyDescent="0.25">
      <c r="A37" s="3" t="s">
        <v>217</v>
      </c>
      <c r="B37" s="3" t="s">
        <v>218</v>
      </c>
      <c r="C37" s="3" t="s">
        <v>219</v>
      </c>
    </row>
    <row r="38" spans="1:3" x14ac:dyDescent="0.25">
      <c r="A38" s="3" t="s">
        <v>220</v>
      </c>
      <c r="B38" s="3" t="s">
        <v>221</v>
      </c>
      <c r="C38" s="3" t="s">
        <v>222</v>
      </c>
    </row>
    <row r="39" spans="1:3" x14ac:dyDescent="0.25">
      <c r="A39" s="3" t="s">
        <v>223</v>
      </c>
      <c r="B39" s="3" t="s">
        <v>224</v>
      </c>
      <c r="C39" s="3" t="s">
        <v>225</v>
      </c>
    </row>
    <row r="40" spans="1:3" x14ac:dyDescent="0.25">
      <c r="A40" s="3" t="s">
        <v>226</v>
      </c>
      <c r="B40" s="3" t="s">
        <v>227</v>
      </c>
      <c r="C40" s="3" t="s">
        <v>228</v>
      </c>
    </row>
    <row r="41" spans="1:3" x14ac:dyDescent="0.25">
      <c r="A41" s="3" t="s">
        <v>229</v>
      </c>
      <c r="B41" s="3" t="s">
        <v>230</v>
      </c>
      <c r="C41" s="3" t="s">
        <v>231</v>
      </c>
    </row>
    <row r="42" spans="1:3" x14ac:dyDescent="0.25">
      <c r="A42" s="3" t="s">
        <v>232</v>
      </c>
      <c r="B42" s="3" t="s">
        <v>230</v>
      </c>
      <c r="C42" s="3" t="s">
        <v>231</v>
      </c>
    </row>
    <row r="43" spans="1:3" x14ac:dyDescent="0.25">
      <c r="A43" s="3" t="s">
        <v>233</v>
      </c>
      <c r="B43" s="3" t="s">
        <v>234</v>
      </c>
      <c r="C43" s="3" t="s">
        <v>235</v>
      </c>
    </row>
    <row r="44" spans="1:3" x14ac:dyDescent="0.25">
      <c r="A44" s="3" t="s">
        <v>236</v>
      </c>
      <c r="B44" s="3" t="s">
        <v>234</v>
      </c>
      <c r="C44" s="3" t="s">
        <v>235</v>
      </c>
    </row>
    <row r="45" spans="1:3" x14ac:dyDescent="0.25">
      <c r="A45" s="3" t="s">
        <v>237</v>
      </c>
      <c r="B45" s="3" t="s">
        <v>238</v>
      </c>
      <c r="C45" s="3" t="s">
        <v>239</v>
      </c>
    </row>
    <row r="46" spans="1:3" x14ac:dyDescent="0.25">
      <c r="A46" s="3" t="s">
        <v>240</v>
      </c>
      <c r="B46" s="3" t="s">
        <v>241</v>
      </c>
      <c r="C46" s="3" t="s">
        <v>242</v>
      </c>
    </row>
    <row r="47" spans="1:3" x14ac:dyDescent="0.25">
      <c r="A47" s="3" t="s">
        <v>243</v>
      </c>
      <c r="B47" s="3" t="s">
        <v>241</v>
      </c>
      <c r="C47" s="3" t="s">
        <v>242</v>
      </c>
    </row>
    <row r="48" spans="1:3" x14ac:dyDescent="0.25">
      <c r="A48" s="3" t="s">
        <v>62</v>
      </c>
      <c r="B48" s="3" t="s">
        <v>241</v>
      </c>
      <c r="C48" s="3" t="s">
        <v>242</v>
      </c>
    </row>
    <row r="49" spans="1:3" x14ac:dyDescent="0.25">
      <c r="A49" s="3" t="s">
        <v>244</v>
      </c>
      <c r="B49" s="3" t="s">
        <v>245</v>
      </c>
      <c r="C49" s="3" t="s">
        <v>246</v>
      </c>
    </row>
    <row r="50" spans="1:3" x14ac:dyDescent="0.25">
      <c r="A50" s="3" t="s">
        <v>69</v>
      </c>
      <c r="B50" s="3" t="s">
        <v>245</v>
      </c>
      <c r="C50" s="3" t="s">
        <v>246</v>
      </c>
    </row>
    <row r="51" spans="1:3" x14ac:dyDescent="0.25">
      <c r="A51" s="3" t="s">
        <v>247</v>
      </c>
      <c r="B51" s="3" t="s">
        <v>248</v>
      </c>
      <c r="C51" s="3" t="s">
        <v>249</v>
      </c>
    </row>
    <row r="52" spans="1:3" x14ac:dyDescent="0.25">
      <c r="A52" s="3" t="s">
        <v>250</v>
      </c>
      <c r="B52" s="3" t="s">
        <v>251</v>
      </c>
      <c r="C52" s="3" t="s">
        <v>252</v>
      </c>
    </row>
    <row r="53" spans="1:3" x14ac:dyDescent="0.25">
      <c r="A53" s="3" t="s">
        <v>253</v>
      </c>
      <c r="B53" s="3" t="s">
        <v>254</v>
      </c>
      <c r="C53" s="3" t="s">
        <v>255</v>
      </c>
    </row>
    <row r="54" spans="1:3" x14ac:dyDescent="0.25">
      <c r="A54" s="3" t="s">
        <v>256</v>
      </c>
      <c r="B54" s="3" t="s">
        <v>257</v>
      </c>
      <c r="C54" s="3" t="s">
        <v>258</v>
      </c>
    </row>
    <row r="55" spans="1:3" x14ac:dyDescent="0.25">
      <c r="A55" s="3" t="s">
        <v>259</v>
      </c>
      <c r="B55" s="3" t="s">
        <v>260</v>
      </c>
      <c r="C55" s="3" t="s">
        <v>261</v>
      </c>
    </row>
    <row r="56" spans="1:3" x14ac:dyDescent="0.25">
      <c r="A56" s="3" t="s">
        <v>262</v>
      </c>
      <c r="B56" s="3" t="s">
        <v>263</v>
      </c>
      <c r="C56" s="3" t="s">
        <v>264</v>
      </c>
    </row>
    <row r="57" spans="1:3" x14ac:dyDescent="0.25">
      <c r="A57" s="3" t="s">
        <v>265</v>
      </c>
      <c r="B57" s="3" t="s">
        <v>266</v>
      </c>
      <c r="C57" s="3" t="s">
        <v>267</v>
      </c>
    </row>
    <row r="58" spans="1:3" x14ac:dyDescent="0.25">
      <c r="A58" s="3" t="s">
        <v>268</v>
      </c>
      <c r="B58" s="3" t="s">
        <v>269</v>
      </c>
      <c r="C58" s="3" t="s">
        <v>270</v>
      </c>
    </row>
    <row r="59" spans="1:3" x14ac:dyDescent="0.25">
      <c r="A59" s="3" t="s">
        <v>271</v>
      </c>
      <c r="B59" s="3" t="s">
        <v>272</v>
      </c>
      <c r="C59" s="3" t="s">
        <v>273</v>
      </c>
    </row>
    <row r="60" spans="1:3" x14ac:dyDescent="0.25">
      <c r="A60" s="3" t="s">
        <v>274</v>
      </c>
      <c r="B60" s="3" t="s">
        <v>275</v>
      </c>
      <c r="C60" s="3" t="s">
        <v>276</v>
      </c>
    </row>
    <row r="61" spans="1:3" x14ac:dyDescent="0.25">
      <c r="A61" s="3" t="s">
        <v>277</v>
      </c>
      <c r="B61" s="3" t="s">
        <v>278</v>
      </c>
      <c r="C61" s="3" t="s">
        <v>279</v>
      </c>
    </row>
    <row r="62" spans="1:3" x14ac:dyDescent="0.25">
      <c r="A62" s="3" t="s">
        <v>280</v>
      </c>
      <c r="B62" s="3" t="s">
        <v>278</v>
      </c>
      <c r="C62" s="3" t="s">
        <v>279</v>
      </c>
    </row>
    <row r="63" spans="1:3" x14ac:dyDescent="0.25">
      <c r="A63" s="3" t="s">
        <v>281</v>
      </c>
      <c r="B63" s="3" t="s">
        <v>282</v>
      </c>
      <c r="C63" s="3" t="s">
        <v>283</v>
      </c>
    </row>
    <row r="64" spans="1:3" x14ac:dyDescent="0.25">
      <c r="A64" s="3" t="s">
        <v>284</v>
      </c>
      <c r="B64" s="3" t="s">
        <v>282</v>
      </c>
      <c r="C64" s="3" t="s">
        <v>283</v>
      </c>
    </row>
    <row r="65" spans="1:3" x14ac:dyDescent="0.25">
      <c r="A65" s="3" t="s">
        <v>285</v>
      </c>
      <c r="B65" s="3" t="s">
        <v>286</v>
      </c>
      <c r="C65" s="3" t="s">
        <v>287</v>
      </c>
    </row>
    <row r="66" spans="1:3" x14ac:dyDescent="0.25">
      <c r="A66" s="3" t="s">
        <v>288</v>
      </c>
      <c r="B66" s="3" t="s">
        <v>286</v>
      </c>
      <c r="C66" s="3" t="s">
        <v>287</v>
      </c>
    </row>
    <row r="67" spans="1:3" x14ac:dyDescent="0.25">
      <c r="A67" s="3" t="s">
        <v>289</v>
      </c>
      <c r="B67" s="3" t="s">
        <v>290</v>
      </c>
      <c r="C67" s="3" t="s">
        <v>291</v>
      </c>
    </row>
    <row r="68" spans="1:3" x14ac:dyDescent="0.25">
      <c r="A68" s="3" t="s">
        <v>292</v>
      </c>
      <c r="B68" s="3" t="s">
        <v>293</v>
      </c>
      <c r="C68" s="3" t="s">
        <v>294</v>
      </c>
    </row>
    <row r="69" spans="1:3" x14ac:dyDescent="0.25">
      <c r="A69" s="3" t="s">
        <v>295</v>
      </c>
      <c r="B69" s="3" t="s">
        <v>293</v>
      </c>
      <c r="C69" s="3" t="s">
        <v>294</v>
      </c>
    </row>
    <row r="70" spans="1:3" x14ac:dyDescent="0.25">
      <c r="A70" s="3" t="s">
        <v>296</v>
      </c>
      <c r="B70" s="3" t="s">
        <v>297</v>
      </c>
      <c r="C70" s="3" t="s">
        <v>298</v>
      </c>
    </row>
    <row r="71" spans="1:3" x14ac:dyDescent="0.25">
      <c r="A71" s="3" t="s">
        <v>299</v>
      </c>
      <c r="B71" s="3" t="s">
        <v>297</v>
      </c>
      <c r="C71" s="3" t="s">
        <v>298</v>
      </c>
    </row>
    <row r="72" spans="1:3" x14ac:dyDescent="0.25">
      <c r="A72" s="3" t="s">
        <v>300</v>
      </c>
      <c r="B72" s="3" t="s">
        <v>297</v>
      </c>
      <c r="C72" s="3" t="s">
        <v>298</v>
      </c>
    </row>
    <row r="73" spans="1:3" x14ac:dyDescent="0.25">
      <c r="A73" s="3" t="s">
        <v>301</v>
      </c>
      <c r="B73" s="3" t="s">
        <v>302</v>
      </c>
      <c r="C73" s="3" t="s">
        <v>303</v>
      </c>
    </row>
    <row r="74" spans="1:3" x14ac:dyDescent="0.25">
      <c r="A74" s="3" t="s">
        <v>304</v>
      </c>
      <c r="B74" s="3" t="s">
        <v>302</v>
      </c>
      <c r="C74" s="3" t="s">
        <v>303</v>
      </c>
    </row>
    <row r="75" spans="1:3" x14ac:dyDescent="0.25">
      <c r="A75" s="3" t="s">
        <v>305</v>
      </c>
      <c r="B75" s="3" t="s">
        <v>306</v>
      </c>
      <c r="C75" s="3" t="s">
        <v>307</v>
      </c>
    </row>
    <row r="76" spans="1:3" x14ac:dyDescent="0.25">
      <c r="A76" s="3" t="s">
        <v>308</v>
      </c>
      <c r="B76" s="3" t="s">
        <v>309</v>
      </c>
      <c r="C76" s="3" t="s">
        <v>310</v>
      </c>
    </row>
    <row r="77" spans="1:3" x14ac:dyDescent="0.25">
      <c r="A77" s="3" t="s">
        <v>311</v>
      </c>
      <c r="B77" s="3" t="s">
        <v>309</v>
      </c>
      <c r="C77" s="3" t="s">
        <v>310</v>
      </c>
    </row>
    <row r="78" spans="1:3" x14ac:dyDescent="0.25">
      <c r="A78" s="3" t="s">
        <v>312</v>
      </c>
      <c r="B78" s="3" t="s">
        <v>313</v>
      </c>
      <c r="C78" s="3" t="s">
        <v>314</v>
      </c>
    </row>
    <row r="79" spans="1:3" x14ac:dyDescent="0.25">
      <c r="A79" s="3" t="s">
        <v>315</v>
      </c>
      <c r="B79" s="3" t="s">
        <v>316</v>
      </c>
      <c r="C79" s="3" t="s">
        <v>317</v>
      </c>
    </row>
    <row r="80" spans="1:3" x14ac:dyDescent="0.25">
      <c r="A80" s="3" t="s">
        <v>318</v>
      </c>
      <c r="B80" s="3" t="s">
        <v>319</v>
      </c>
      <c r="C80" s="3" t="s">
        <v>320</v>
      </c>
    </row>
    <row r="81" spans="1:3" x14ac:dyDescent="0.25">
      <c r="A81" s="3" t="s">
        <v>321</v>
      </c>
      <c r="B81" s="3" t="s">
        <v>319</v>
      </c>
      <c r="C81" s="3" t="s">
        <v>320</v>
      </c>
    </row>
    <row r="82" spans="1:3" x14ac:dyDescent="0.25">
      <c r="A82" s="3" t="s">
        <v>322</v>
      </c>
      <c r="B82" s="3" t="s">
        <v>323</v>
      </c>
      <c r="C82" s="3" t="s">
        <v>324</v>
      </c>
    </row>
    <row r="83" spans="1:3" x14ac:dyDescent="0.25">
      <c r="A83" s="3" t="s">
        <v>325</v>
      </c>
      <c r="B83" s="3" t="s">
        <v>326</v>
      </c>
      <c r="C83" s="3" t="s">
        <v>327</v>
      </c>
    </row>
    <row r="84" spans="1:3" x14ac:dyDescent="0.25">
      <c r="A84" s="3" t="s">
        <v>328</v>
      </c>
      <c r="B84" s="3" t="s">
        <v>329</v>
      </c>
      <c r="C84" s="3" t="s">
        <v>330</v>
      </c>
    </row>
    <row r="85" spans="1:3" x14ac:dyDescent="0.25">
      <c r="A85" s="3" t="s">
        <v>331</v>
      </c>
      <c r="B85" s="3" t="s">
        <v>332</v>
      </c>
      <c r="C85" s="3" t="s">
        <v>333</v>
      </c>
    </row>
    <row r="86" spans="1:3" x14ac:dyDescent="0.25">
      <c r="A86" s="3" t="s">
        <v>334</v>
      </c>
      <c r="B86" s="3" t="s">
        <v>335</v>
      </c>
      <c r="C86" s="3" t="s">
        <v>336</v>
      </c>
    </row>
    <row r="87" spans="1:3" x14ac:dyDescent="0.25">
      <c r="A87" s="3" t="s">
        <v>337</v>
      </c>
      <c r="B87" s="3" t="s">
        <v>335</v>
      </c>
      <c r="C87" s="3" t="s">
        <v>336</v>
      </c>
    </row>
    <row r="88" spans="1:3" x14ac:dyDescent="0.25">
      <c r="A88" s="3" t="s">
        <v>338</v>
      </c>
      <c r="B88" s="3" t="s">
        <v>339</v>
      </c>
      <c r="C88" s="3" t="s">
        <v>340</v>
      </c>
    </row>
    <row r="89" spans="1:3" x14ac:dyDescent="0.25">
      <c r="A89" s="3" t="s">
        <v>341</v>
      </c>
      <c r="B89" s="3" t="s">
        <v>342</v>
      </c>
      <c r="C89" s="3" t="s">
        <v>343</v>
      </c>
    </row>
    <row r="90" spans="1:3" x14ac:dyDescent="0.25">
      <c r="A90" s="3" t="s">
        <v>344</v>
      </c>
      <c r="B90" s="3" t="s">
        <v>342</v>
      </c>
      <c r="C90" s="3" t="s">
        <v>343</v>
      </c>
    </row>
    <row r="91" spans="1:3" x14ac:dyDescent="0.25">
      <c r="A91" s="3" t="s">
        <v>345</v>
      </c>
      <c r="B91" s="3" t="s">
        <v>342</v>
      </c>
      <c r="C91" s="3" t="s">
        <v>343</v>
      </c>
    </row>
    <row r="92" spans="1:3" x14ac:dyDescent="0.25">
      <c r="A92" s="3" t="s">
        <v>75</v>
      </c>
      <c r="B92" s="3" t="s">
        <v>346</v>
      </c>
      <c r="C92" s="3" t="s">
        <v>347</v>
      </c>
    </row>
    <row r="93" spans="1:3" x14ac:dyDescent="0.25">
      <c r="A93" s="3" t="s">
        <v>348</v>
      </c>
      <c r="B93" s="3" t="s">
        <v>349</v>
      </c>
      <c r="C93" s="3" t="s">
        <v>350</v>
      </c>
    </row>
    <row r="94" spans="1:3" x14ac:dyDescent="0.25">
      <c r="A94" s="3" t="s">
        <v>351</v>
      </c>
      <c r="B94" s="3" t="s">
        <v>352</v>
      </c>
      <c r="C94" s="3" t="s">
        <v>353</v>
      </c>
    </row>
    <row r="95" spans="1:3" x14ac:dyDescent="0.25">
      <c r="A95" s="3" t="s">
        <v>354</v>
      </c>
      <c r="B95" s="3" t="s">
        <v>355</v>
      </c>
      <c r="C95" s="3" t="s">
        <v>356</v>
      </c>
    </row>
    <row r="96" spans="1:3" x14ac:dyDescent="0.25">
      <c r="A96" s="3" t="s">
        <v>357</v>
      </c>
      <c r="B96" s="3" t="s">
        <v>358</v>
      </c>
      <c r="C96" s="3" t="s">
        <v>359</v>
      </c>
    </row>
    <row r="97" spans="1:3" x14ac:dyDescent="0.25">
      <c r="A97" s="3" t="s">
        <v>360</v>
      </c>
      <c r="B97" s="3" t="s">
        <v>358</v>
      </c>
      <c r="C97" s="3" t="s">
        <v>359</v>
      </c>
    </row>
    <row r="98" spans="1:3" x14ac:dyDescent="0.25">
      <c r="A98" s="3" t="s">
        <v>61</v>
      </c>
      <c r="B98" s="3" t="s">
        <v>361</v>
      </c>
      <c r="C98" s="3" t="s">
        <v>362</v>
      </c>
    </row>
    <row r="99" spans="1:3" x14ac:dyDescent="0.25">
      <c r="A99" s="3" t="s">
        <v>363</v>
      </c>
      <c r="B99" s="3" t="s">
        <v>364</v>
      </c>
      <c r="C99" s="3" t="s">
        <v>365</v>
      </c>
    </row>
    <row r="100" spans="1:3" x14ac:dyDescent="0.25">
      <c r="A100" s="3" t="s">
        <v>366</v>
      </c>
      <c r="B100" s="3" t="s">
        <v>367</v>
      </c>
      <c r="C100" s="3" t="s">
        <v>368</v>
      </c>
    </row>
    <row r="101" spans="1:3" x14ac:dyDescent="0.25">
      <c r="A101" s="3" t="s">
        <v>369</v>
      </c>
      <c r="B101" s="3" t="s">
        <v>370</v>
      </c>
      <c r="C101" s="3" t="s">
        <v>371</v>
      </c>
    </row>
    <row r="102" spans="1:3" x14ac:dyDescent="0.25">
      <c r="A102" s="3" t="s">
        <v>372</v>
      </c>
      <c r="B102" s="3" t="s">
        <v>373</v>
      </c>
      <c r="C102" s="3" t="s">
        <v>374</v>
      </c>
    </row>
    <row r="103" spans="1:3" x14ac:dyDescent="0.25">
      <c r="A103" s="3" t="s">
        <v>375</v>
      </c>
      <c r="B103" s="3" t="s">
        <v>373</v>
      </c>
      <c r="C103" s="3" t="s">
        <v>374</v>
      </c>
    </row>
    <row r="104" spans="1:3" x14ac:dyDescent="0.25">
      <c r="A104" s="3" t="s">
        <v>376</v>
      </c>
      <c r="B104" s="3" t="s">
        <v>373</v>
      </c>
      <c r="C104" s="3" t="s">
        <v>374</v>
      </c>
    </row>
    <row r="105" spans="1:3" x14ac:dyDescent="0.25">
      <c r="A105" s="3" t="s">
        <v>377</v>
      </c>
      <c r="B105" s="3" t="s">
        <v>373</v>
      </c>
      <c r="C105" s="3" t="s">
        <v>374</v>
      </c>
    </row>
    <row r="106" spans="1:3" x14ac:dyDescent="0.25">
      <c r="A106" s="3" t="s">
        <v>378</v>
      </c>
      <c r="B106" s="3" t="s">
        <v>373</v>
      </c>
      <c r="C106" s="3" t="s">
        <v>374</v>
      </c>
    </row>
    <row r="107" spans="1:3" x14ac:dyDescent="0.25">
      <c r="A107" s="3" t="s">
        <v>379</v>
      </c>
      <c r="B107" s="3" t="s">
        <v>373</v>
      </c>
      <c r="C107" s="3" t="s">
        <v>374</v>
      </c>
    </row>
    <row r="108" spans="1:3" x14ac:dyDescent="0.25">
      <c r="A108" s="3" t="s">
        <v>380</v>
      </c>
      <c r="B108" s="3" t="s">
        <v>373</v>
      </c>
      <c r="C108" s="3" t="s">
        <v>374</v>
      </c>
    </row>
    <row r="109" spans="1:3" x14ac:dyDescent="0.25">
      <c r="A109" s="3" t="s">
        <v>381</v>
      </c>
      <c r="B109" s="3" t="s">
        <v>382</v>
      </c>
      <c r="C109" s="3" t="s">
        <v>383</v>
      </c>
    </row>
    <row r="110" spans="1:3" x14ac:dyDescent="0.25">
      <c r="A110" s="3" t="s">
        <v>384</v>
      </c>
      <c r="B110" s="3" t="s">
        <v>382</v>
      </c>
      <c r="C110" s="3" t="s">
        <v>383</v>
      </c>
    </row>
    <row r="111" spans="1:3" x14ac:dyDescent="0.25">
      <c r="A111" s="3" t="s">
        <v>385</v>
      </c>
      <c r="B111" s="3" t="s">
        <v>386</v>
      </c>
      <c r="C111" s="3" t="s">
        <v>387</v>
      </c>
    </row>
    <row r="112" spans="1:3" x14ac:dyDescent="0.25">
      <c r="A112" s="3" t="s">
        <v>388</v>
      </c>
      <c r="B112" s="3" t="s">
        <v>386</v>
      </c>
      <c r="C112" s="3" t="s">
        <v>387</v>
      </c>
    </row>
    <row r="113" spans="1:3" x14ac:dyDescent="0.25">
      <c r="A113" s="3" t="s">
        <v>389</v>
      </c>
      <c r="B113" s="3" t="s">
        <v>386</v>
      </c>
      <c r="C113" s="3" t="s">
        <v>387</v>
      </c>
    </row>
    <row r="114" spans="1:3" x14ac:dyDescent="0.25">
      <c r="A114" s="3" t="s">
        <v>390</v>
      </c>
      <c r="B114" s="3" t="s">
        <v>391</v>
      </c>
      <c r="C114" s="3" t="s">
        <v>392</v>
      </c>
    </row>
    <row r="115" spans="1:3" x14ac:dyDescent="0.25">
      <c r="A115" s="3" t="s">
        <v>393</v>
      </c>
      <c r="B115" s="3" t="s">
        <v>394</v>
      </c>
      <c r="C115" s="3" t="s">
        <v>395</v>
      </c>
    </row>
    <row r="116" spans="1:3" x14ac:dyDescent="0.25">
      <c r="A116" s="3" t="s">
        <v>396</v>
      </c>
      <c r="B116" s="3" t="s">
        <v>397</v>
      </c>
      <c r="C116" s="3" t="s">
        <v>398</v>
      </c>
    </row>
    <row r="117" spans="1:3" x14ac:dyDescent="0.25">
      <c r="A117" s="3" t="s">
        <v>399</v>
      </c>
      <c r="B117" s="3" t="s">
        <v>400</v>
      </c>
      <c r="C117" s="3" t="s">
        <v>401</v>
      </c>
    </row>
    <row r="118" spans="1:3" x14ac:dyDescent="0.25">
      <c r="A118" s="3" t="s">
        <v>402</v>
      </c>
      <c r="B118" s="3" t="s">
        <v>400</v>
      </c>
      <c r="C118" s="3" t="s">
        <v>401</v>
      </c>
    </row>
    <row r="119" spans="1:3" x14ac:dyDescent="0.25">
      <c r="A119" s="3" t="s">
        <v>403</v>
      </c>
      <c r="B119" s="3" t="s">
        <v>400</v>
      </c>
      <c r="C119" s="3" t="s">
        <v>401</v>
      </c>
    </row>
    <row r="120" spans="1:3" x14ac:dyDescent="0.25">
      <c r="A120" s="3" t="s">
        <v>404</v>
      </c>
      <c r="B120" s="3" t="s">
        <v>405</v>
      </c>
      <c r="C120" s="3" t="s">
        <v>406</v>
      </c>
    </row>
    <row r="121" spans="1:3" x14ac:dyDescent="0.25">
      <c r="A121" s="3" t="s">
        <v>407</v>
      </c>
      <c r="B121" s="3" t="s">
        <v>405</v>
      </c>
      <c r="C121" s="3" t="s">
        <v>406</v>
      </c>
    </row>
    <row r="122" spans="1:3" x14ac:dyDescent="0.25">
      <c r="A122" s="3" t="s">
        <v>408</v>
      </c>
      <c r="B122" s="3" t="s">
        <v>409</v>
      </c>
      <c r="C122" s="3" t="s">
        <v>410</v>
      </c>
    </row>
    <row r="123" spans="1:3" x14ac:dyDescent="0.25">
      <c r="A123" s="3" t="s">
        <v>411</v>
      </c>
      <c r="B123" s="3" t="s">
        <v>412</v>
      </c>
      <c r="C123" s="3" t="s">
        <v>413</v>
      </c>
    </row>
    <row r="124" spans="1:3" x14ac:dyDescent="0.25">
      <c r="A124" s="3" t="s">
        <v>414</v>
      </c>
      <c r="B124" s="3" t="s">
        <v>412</v>
      </c>
      <c r="C124" s="3" t="s">
        <v>413</v>
      </c>
    </row>
    <row r="125" spans="1:3" x14ac:dyDescent="0.25">
      <c r="A125" s="3" t="s">
        <v>415</v>
      </c>
      <c r="B125" s="3" t="s">
        <v>416</v>
      </c>
      <c r="C125" s="3" t="s">
        <v>417</v>
      </c>
    </row>
    <row r="126" spans="1:3" x14ac:dyDescent="0.25">
      <c r="A126" s="3" t="s">
        <v>418</v>
      </c>
      <c r="B126" s="3" t="s">
        <v>419</v>
      </c>
      <c r="C126" s="3" t="s">
        <v>420</v>
      </c>
    </row>
    <row r="127" spans="1:3" x14ac:dyDescent="0.25">
      <c r="A127" s="3" t="s">
        <v>421</v>
      </c>
      <c r="B127" s="3" t="s">
        <v>422</v>
      </c>
      <c r="C127" s="3" t="s">
        <v>423</v>
      </c>
    </row>
    <row r="128" spans="1:3" x14ac:dyDescent="0.25">
      <c r="A128" s="3" t="s">
        <v>424</v>
      </c>
      <c r="B128" s="3" t="s">
        <v>425</v>
      </c>
      <c r="C128" s="3" t="s">
        <v>426</v>
      </c>
    </row>
    <row r="129" spans="1:3" x14ac:dyDescent="0.25">
      <c r="A129" s="3" t="s">
        <v>427</v>
      </c>
      <c r="B129" s="3" t="s">
        <v>428</v>
      </c>
      <c r="C129" s="3" t="s">
        <v>429</v>
      </c>
    </row>
    <row r="130" spans="1:3" x14ac:dyDescent="0.25">
      <c r="A130" s="3" t="s">
        <v>430</v>
      </c>
      <c r="B130" s="3" t="s">
        <v>431</v>
      </c>
      <c r="C130" s="3" t="s">
        <v>432</v>
      </c>
    </row>
    <row r="131" spans="1:3" x14ac:dyDescent="0.25">
      <c r="A131" s="3" t="s">
        <v>433</v>
      </c>
      <c r="B131" s="3" t="s">
        <v>434</v>
      </c>
      <c r="C131" s="3" t="s">
        <v>435</v>
      </c>
    </row>
    <row r="132" spans="1:3" x14ac:dyDescent="0.25">
      <c r="A132" s="3" t="s">
        <v>436</v>
      </c>
      <c r="B132" s="3" t="s">
        <v>437</v>
      </c>
      <c r="C132" s="3" t="s">
        <v>438</v>
      </c>
    </row>
    <row r="133" spans="1:3" x14ac:dyDescent="0.25">
      <c r="A133" s="3" t="s">
        <v>439</v>
      </c>
      <c r="B133" s="3" t="s">
        <v>440</v>
      </c>
      <c r="C133" s="3" t="s">
        <v>441</v>
      </c>
    </row>
    <row r="134" spans="1:3" x14ac:dyDescent="0.25">
      <c r="A134" s="3" t="s">
        <v>442</v>
      </c>
      <c r="B134" s="3" t="s">
        <v>440</v>
      </c>
      <c r="C134" s="3" t="s">
        <v>441</v>
      </c>
    </row>
    <row r="135" spans="1:3" x14ac:dyDescent="0.25">
      <c r="A135" s="3" t="s">
        <v>443</v>
      </c>
      <c r="B135" s="3" t="s">
        <v>444</v>
      </c>
      <c r="C135" s="3" t="s">
        <v>445</v>
      </c>
    </row>
    <row r="136" spans="1:3" x14ac:dyDescent="0.25">
      <c r="A136" s="3" t="s">
        <v>446</v>
      </c>
      <c r="B136" s="3" t="s">
        <v>447</v>
      </c>
      <c r="C136" s="3" t="s">
        <v>448</v>
      </c>
    </row>
    <row r="137" spans="1:3" x14ac:dyDescent="0.25">
      <c r="A137" s="3" t="s">
        <v>449</v>
      </c>
      <c r="B137" s="3" t="s">
        <v>450</v>
      </c>
      <c r="C137" s="3" t="s">
        <v>451</v>
      </c>
    </row>
    <row r="138" spans="1:3" x14ac:dyDescent="0.25">
      <c r="A138" s="3" t="s">
        <v>452</v>
      </c>
      <c r="B138" s="3" t="s">
        <v>453</v>
      </c>
      <c r="C138" s="3" t="s">
        <v>454</v>
      </c>
    </row>
    <row r="139" spans="1:3" x14ac:dyDescent="0.25">
      <c r="A139" s="3" t="s">
        <v>455</v>
      </c>
      <c r="B139" s="3" t="s">
        <v>456</v>
      </c>
      <c r="C139" s="3" t="s">
        <v>457</v>
      </c>
    </row>
    <row r="140" spans="1:3" x14ac:dyDescent="0.25">
      <c r="A140" s="3" t="s">
        <v>458</v>
      </c>
      <c r="B140" s="3" t="s">
        <v>456</v>
      </c>
      <c r="C140" s="3" t="s">
        <v>457</v>
      </c>
    </row>
    <row r="141" spans="1:3" x14ac:dyDescent="0.25">
      <c r="A141" s="3" t="s">
        <v>459</v>
      </c>
      <c r="B141" s="3" t="s">
        <v>460</v>
      </c>
      <c r="C141" s="3" t="s">
        <v>461</v>
      </c>
    </row>
    <row r="142" spans="1:3" x14ac:dyDescent="0.25">
      <c r="A142" s="3" t="s">
        <v>462</v>
      </c>
      <c r="B142" s="3" t="s">
        <v>460</v>
      </c>
      <c r="C142" s="3" t="s">
        <v>461</v>
      </c>
    </row>
    <row r="143" spans="1:3" x14ac:dyDescent="0.25">
      <c r="A143" s="3" t="s">
        <v>463</v>
      </c>
      <c r="B143" s="3" t="s">
        <v>464</v>
      </c>
      <c r="C143" s="3" t="s">
        <v>465</v>
      </c>
    </row>
    <row r="144" spans="1:3" x14ac:dyDescent="0.25">
      <c r="A144" s="3" t="s">
        <v>466</v>
      </c>
      <c r="B144" s="3" t="s">
        <v>467</v>
      </c>
      <c r="C144" s="3" t="s">
        <v>468</v>
      </c>
    </row>
    <row r="145" spans="1:3" x14ac:dyDescent="0.25">
      <c r="A145" s="3" t="s">
        <v>469</v>
      </c>
      <c r="B145" s="3" t="s">
        <v>470</v>
      </c>
      <c r="C145" s="3" t="s">
        <v>471</v>
      </c>
    </row>
    <row r="146" spans="1:3" x14ac:dyDescent="0.25">
      <c r="A146" s="3" t="s">
        <v>472</v>
      </c>
      <c r="B146" s="3" t="s">
        <v>473</v>
      </c>
      <c r="C146" s="3" t="s">
        <v>474</v>
      </c>
    </row>
    <row r="147" spans="1:3" x14ac:dyDescent="0.25">
      <c r="A147" s="3" t="s">
        <v>475</v>
      </c>
      <c r="B147" s="3" t="s">
        <v>476</v>
      </c>
      <c r="C147" s="3" t="s">
        <v>477</v>
      </c>
    </row>
    <row r="148" spans="1:3" x14ac:dyDescent="0.25">
      <c r="A148" s="3" t="s">
        <v>478</v>
      </c>
      <c r="B148" s="3" t="s">
        <v>479</v>
      </c>
      <c r="C148" s="3" t="s">
        <v>480</v>
      </c>
    </row>
    <row r="149" spans="1:3" x14ac:dyDescent="0.25">
      <c r="A149" s="3" t="s">
        <v>481</v>
      </c>
      <c r="B149" s="3" t="s">
        <v>482</v>
      </c>
      <c r="C149" s="3" t="s">
        <v>483</v>
      </c>
    </row>
    <row r="150" spans="1:3" x14ac:dyDescent="0.25">
      <c r="A150" s="3" t="s">
        <v>484</v>
      </c>
      <c r="B150" s="3" t="s">
        <v>482</v>
      </c>
      <c r="C150" s="3" t="s">
        <v>483</v>
      </c>
    </row>
    <row r="151" spans="1:3" x14ac:dyDescent="0.25">
      <c r="A151" s="3" t="s">
        <v>485</v>
      </c>
      <c r="B151" s="3" t="s">
        <v>482</v>
      </c>
      <c r="C151" s="3" t="s">
        <v>483</v>
      </c>
    </row>
    <row r="152" spans="1:3" x14ac:dyDescent="0.25">
      <c r="A152" s="3" t="s">
        <v>486</v>
      </c>
      <c r="B152" s="3" t="s">
        <v>487</v>
      </c>
      <c r="C152" s="3" t="s">
        <v>488</v>
      </c>
    </row>
    <row r="153" spans="1:3" x14ac:dyDescent="0.25">
      <c r="A153" s="3" t="s">
        <v>489</v>
      </c>
      <c r="B153" s="3" t="s">
        <v>487</v>
      </c>
      <c r="C153" s="3" t="s">
        <v>488</v>
      </c>
    </row>
    <row r="154" spans="1:3" x14ac:dyDescent="0.25">
      <c r="A154" s="3" t="s">
        <v>490</v>
      </c>
      <c r="B154" s="3" t="s">
        <v>491</v>
      </c>
      <c r="C154" s="3" t="s">
        <v>492</v>
      </c>
    </row>
    <row r="155" spans="1:3" x14ac:dyDescent="0.25">
      <c r="A155" s="3" t="s">
        <v>493</v>
      </c>
      <c r="B155" s="3" t="s">
        <v>491</v>
      </c>
      <c r="C155" s="3" t="s">
        <v>492</v>
      </c>
    </row>
    <row r="156" spans="1:3" x14ac:dyDescent="0.25">
      <c r="A156" s="3" t="s">
        <v>494</v>
      </c>
      <c r="B156" s="3" t="s">
        <v>491</v>
      </c>
      <c r="C156" s="3" t="s">
        <v>492</v>
      </c>
    </row>
    <row r="157" spans="1:3" x14ac:dyDescent="0.25">
      <c r="A157" s="3" t="s">
        <v>495</v>
      </c>
      <c r="B157" s="3" t="s">
        <v>496</v>
      </c>
      <c r="C157" s="3" t="s">
        <v>497</v>
      </c>
    </row>
    <row r="158" spans="1:3" x14ac:dyDescent="0.25">
      <c r="A158" s="3" t="s">
        <v>498</v>
      </c>
      <c r="B158" s="3" t="s">
        <v>496</v>
      </c>
      <c r="C158" s="3" t="s">
        <v>497</v>
      </c>
    </row>
    <row r="159" spans="1:3" x14ac:dyDescent="0.25">
      <c r="A159" s="3" t="s">
        <v>499</v>
      </c>
      <c r="B159" s="3" t="s">
        <v>500</v>
      </c>
      <c r="C159" s="3" t="s">
        <v>501</v>
      </c>
    </row>
    <row r="160" spans="1:3" x14ac:dyDescent="0.25">
      <c r="A160" s="3" t="s">
        <v>502</v>
      </c>
      <c r="B160" s="3" t="s">
        <v>503</v>
      </c>
      <c r="C160" s="3" t="s">
        <v>504</v>
      </c>
    </row>
    <row r="161" spans="1:3" x14ac:dyDescent="0.25">
      <c r="A161" s="3" t="s">
        <v>505</v>
      </c>
      <c r="B161" s="3" t="s">
        <v>506</v>
      </c>
      <c r="C161" s="3" t="s">
        <v>507</v>
      </c>
    </row>
    <row r="162" spans="1:3" x14ac:dyDescent="0.25">
      <c r="A162" s="3" t="s">
        <v>508</v>
      </c>
      <c r="B162" s="3" t="s">
        <v>506</v>
      </c>
      <c r="C162" s="3" t="s">
        <v>507</v>
      </c>
    </row>
    <row r="163" spans="1:3" x14ac:dyDescent="0.25">
      <c r="A163" s="3" t="s">
        <v>509</v>
      </c>
      <c r="B163" s="3" t="s">
        <v>506</v>
      </c>
      <c r="C163" s="3" t="s">
        <v>507</v>
      </c>
    </row>
    <row r="164" spans="1:3" x14ac:dyDescent="0.25">
      <c r="A164" s="3" t="s">
        <v>510</v>
      </c>
      <c r="B164" s="3" t="s">
        <v>511</v>
      </c>
      <c r="C164" s="3" t="s">
        <v>512</v>
      </c>
    </row>
    <row r="165" spans="1:3" x14ac:dyDescent="0.25">
      <c r="A165" s="3" t="s">
        <v>513</v>
      </c>
      <c r="B165" s="3" t="s">
        <v>511</v>
      </c>
      <c r="C165" s="3" t="s">
        <v>512</v>
      </c>
    </row>
    <row r="166" spans="1:3" x14ac:dyDescent="0.25">
      <c r="A166" s="3" t="s">
        <v>514</v>
      </c>
      <c r="B166" s="3" t="s">
        <v>511</v>
      </c>
      <c r="C166" s="3" t="s">
        <v>512</v>
      </c>
    </row>
    <row r="167" spans="1:3" x14ac:dyDescent="0.25">
      <c r="A167" s="3" t="s">
        <v>515</v>
      </c>
      <c r="B167" s="3" t="s">
        <v>516</v>
      </c>
      <c r="C167" s="3" t="s">
        <v>517</v>
      </c>
    </row>
    <row r="168" spans="1:3" x14ac:dyDescent="0.25">
      <c r="A168" s="3" t="s">
        <v>518</v>
      </c>
      <c r="B168" s="3" t="s">
        <v>516</v>
      </c>
      <c r="C168" s="3" t="s">
        <v>517</v>
      </c>
    </row>
    <row r="169" spans="1:3" x14ac:dyDescent="0.25">
      <c r="A169" s="3" t="s">
        <v>519</v>
      </c>
      <c r="B169" s="3" t="s">
        <v>520</v>
      </c>
      <c r="C169" s="3" t="s">
        <v>521</v>
      </c>
    </row>
    <row r="170" spans="1:3" x14ac:dyDescent="0.25">
      <c r="A170" s="3" t="s">
        <v>522</v>
      </c>
      <c r="B170" s="3" t="s">
        <v>520</v>
      </c>
      <c r="C170" s="3" t="s">
        <v>521</v>
      </c>
    </row>
    <row r="171" spans="1:3" x14ac:dyDescent="0.25">
      <c r="A171" s="3" t="s">
        <v>523</v>
      </c>
      <c r="B171" s="3" t="s">
        <v>524</v>
      </c>
      <c r="C171" s="3" t="s">
        <v>525</v>
      </c>
    </row>
    <row r="172" spans="1:3" x14ac:dyDescent="0.25">
      <c r="A172" s="3" t="s">
        <v>526</v>
      </c>
      <c r="B172" s="3" t="s">
        <v>527</v>
      </c>
      <c r="C172" s="3" t="s">
        <v>528</v>
      </c>
    </row>
    <row r="173" spans="1:3" x14ac:dyDescent="0.25">
      <c r="A173" s="3" t="s">
        <v>529</v>
      </c>
      <c r="B173" s="3" t="s">
        <v>527</v>
      </c>
      <c r="C173" s="3" t="s">
        <v>528</v>
      </c>
    </row>
    <row r="174" spans="1:3" x14ac:dyDescent="0.25">
      <c r="A174" s="3" t="s">
        <v>530</v>
      </c>
      <c r="B174" s="3" t="s">
        <v>531</v>
      </c>
      <c r="C174" s="3" t="s">
        <v>532</v>
      </c>
    </row>
    <row r="175" spans="1:3" x14ac:dyDescent="0.25">
      <c r="A175" s="3" t="s">
        <v>533</v>
      </c>
      <c r="B175" s="3" t="s">
        <v>531</v>
      </c>
      <c r="C175" s="3" t="s">
        <v>532</v>
      </c>
    </row>
    <row r="176" spans="1:3" x14ac:dyDescent="0.25">
      <c r="A176" s="3" t="s">
        <v>534</v>
      </c>
      <c r="B176" s="3" t="s">
        <v>535</v>
      </c>
      <c r="C176" s="3" t="s">
        <v>536</v>
      </c>
    </row>
    <row r="177" spans="1:3" x14ac:dyDescent="0.25">
      <c r="A177" s="3" t="s">
        <v>537</v>
      </c>
      <c r="B177" s="3" t="s">
        <v>535</v>
      </c>
      <c r="C177" s="3" t="s">
        <v>536</v>
      </c>
    </row>
    <row r="178" spans="1:3" x14ac:dyDescent="0.25">
      <c r="A178" s="3" t="s">
        <v>538</v>
      </c>
      <c r="B178" s="3" t="s">
        <v>539</v>
      </c>
      <c r="C178" s="3" t="s">
        <v>540</v>
      </c>
    </row>
    <row r="179" spans="1:3" x14ac:dyDescent="0.25">
      <c r="A179" s="3" t="s">
        <v>541</v>
      </c>
      <c r="B179" s="3" t="s">
        <v>542</v>
      </c>
      <c r="C179" s="3" t="s">
        <v>543</v>
      </c>
    </row>
    <row r="180" spans="1:3" x14ac:dyDescent="0.25">
      <c r="A180" s="3" t="s">
        <v>544</v>
      </c>
      <c r="B180" s="3" t="s">
        <v>545</v>
      </c>
      <c r="C180" s="3" t="s">
        <v>546</v>
      </c>
    </row>
    <row r="181" spans="1:3" x14ac:dyDescent="0.25">
      <c r="A181" s="3" t="s">
        <v>547</v>
      </c>
      <c r="B181" s="3" t="s">
        <v>548</v>
      </c>
      <c r="C181" s="3" t="s">
        <v>549</v>
      </c>
    </row>
    <row r="182" spans="1:3" x14ac:dyDescent="0.25">
      <c r="A182" s="3" t="s">
        <v>550</v>
      </c>
      <c r="B182" s="3" t="s">
        <v>548</v>
      </c>
      <c r="C182" s="3" t="s">
        <v>549</v>
      </c>
    </row>
    <row r="183" spans="1:3" x14ac:dyDescent="0.25">
      <c r="A183" s="3" t="s">
        <v>551</v>
      </c>
      <c r="B183" s="3" t="s">
        <v>548</v>
      </c>
      <c r="C183" s="3" t="s">
        <v>549</v>
      </c>
    </row>
    <row r="184" spans="1:3" x14ac:dyDescent="0.25">
      <c r="A184" s="3" t="s">
        <v>552</v>
      </c>
      <c r="B184" s="3" t="s">
        <v>553</v>
      </c>
      <c r="C184" s="3" t="s">
        <v>554</v>
      </c>
    </row>
    <row r="185" spans="1:3" x14ac:dyDescent="0.25">
      <c r="A185" s="3" t="s">
        <v>555</v>
      </c>
      <c r="B185" s="3" t="s">
        <v>556</v>
      </c>
      <c r="C185" s="3" t="s">
        <v>557</v>
      </c>
    </row>
    <row r="186" spans="1:3" x14ac:dyDescent="0.25">
      <c r="A186" s="3" t="s">
        <v>558</v>
      </c>
      <c r="B186" s="3" t="s">
        <v>556</v>
      </c>
      <c r="C186" s="3" t="s">
        <v>557</v>
      </c>
    </row>
    <row r="187" spans="1:3" x14ac:dyDescent="0.25">
      <c r="A187" s="3" t="s">
        <v>559</v>
      </c>
      <c r="B187" s="3" t="s">
        <v>560</v>
      </c>
      <c r="C187" s="3" t="s">
        <v>561</v>
      </c>
    </row>
    <row r="188" spans="1:3" x14ac:dyDescent="0.25">
      <c r="A188" s="3" t="s">
        <v>562</v>
      </c>
      <c r="B188" s="3" t="s">
        <v>563</v>
      </c>
      <c r="C188" s="3" t="s">
        <v>564</v>
      </c>
    </row>
    <row r="189" spans="1:3" x14ac:dyDescent="0.25">
      <c r="A189" s="3" t="s">
        <v>565</v>
      </c>
      <c r="B189" s="3" t="s">
        <v>563</v>
      </c>
      <c r="C189" s="3" t="s">
        <v>564</v>
      </c>
    </row>
    <row r="190" spans="1:3" x14ac:dyDescent="0.25">
      <c r="A190" s="3" t="s">
        <v>566</v>
      </c>
      <c r="B190" s="3" t="s">
        <v>563</v>
      </c>
      <c r="C190" s="3" t="s">
        <v>564</v>
      </c>
    </row>
    <row r="191" spans="1:3" x14ac:dyDescent="0.25">
      <c r="A191" s="3" t="s">
        <v>567</v>
      </c>
      <c r="B191" s="3" t="s">
        <v>568</v>
      </c>
      <c r="C191" s="3" t="s">
        <v>569</v>
      </c>
    </row>
    <row r="192" spans="1:3" x14ac:dyDescent="0.25">
      <c r="A192" s="3" t="s">
        <v>570</v>
      </c>
      <c r="B192" s="3" t="s">
        <v>571</v>
      </c>
      <c r="C192" s="3" t="s">
        <v>572</v>
      </c>
    </row>
    <row r="193" spans="1:3" x14ac:dyDescent="0.25">
      <c r="A193" s="3" t="s">
        <v>573</v>
      </c>
      <c r="B193" s="3" t="s">
        <v>574</v>
      </c>
      <c r="C193" s="3" t="s">
        <v>575</v>
      </c>
    </row>
    <row r="194" spans="1:3" x14ac:dyDescent="0.25">
      <c r="A194" s="3" t="s">
        <v>576</v>
      </c>
      <c r="B194" s="3" t="s">
        <v>577</v>
      </c>
      <c r="C194" s="3" t="s">
        <v>578</v>
      </c>
    </row>
    <row r="195" spans="1:3" x14ac:dyDescent="0.25">
      <c r="A195" s="3" t="s">
        <v>579</v>
      </c>
      <c r="B195" s="3" t="s">
        <v>580</v>
      </c>
      <c r="C195" s="3" t="s">
        <v>581</v>
      </c>
    </row>
    <row r="196" spans="1:3" x14ac:dyDescent="0.25">
      <c r="A196" s="3" t="s">
        <v>582</v>
      </c>
      <c r="B196" s="3" t="s">
        <v>583</v>
      </c>
      <c r="C196" s="3" t="s">
        <v>584</v>
      </c>
    </row>
    <row r="197" spans="1:3" x14ac:dyDescent="0.25">
      <c r="A197" s="3" t="s">
        <v>585</v>
      </c>
      <c r="B197" s="3" t="s">
        <v>583</v>
      </c>
      <c r="C197" s="3" t="s">
        <v>584</v>
      </c>
    </row>
    <row r="198" spans="1:3" x14ac:dyDescent="0.25">
      <c r="A198" s="3" t="s">
        <v>586</v>
      </c>
      <c r="B198" s="3" t="s">
        <v>587</v>
      </c>
      <c r="C198" s="3" t="s">
        <v>588</v>
      </c>
    </row>
    <row r="199" spans="1:3" x14ac:dyDescent="0.25">
      <c r="A199" s="3" t="s">
        <v>589</v>
      </c>
      <c r="B199" s="3" t="s">
        <v>587</v>
      </c>
      <c r="C199" s="3" t="s">
        <v>588</v>
      </c>
    </row>
    <row r="200" spans="1:3" x14ac:dyDescent="0.25">
      <c r="A200" s="3" t="s">
        <v>590</v>
      </c>
      <c r="B200" s="3" t="s">
        <v>587</v>
      </c>
      <c r="C200" s="3" t="s">
        <v>588</v>
      </c>
    </row>
    <row r="201" spans="1:3" x14ac:dyDescent="0.25">
      <c r="A201" s="3" t="s">
        <v>591</v>
      </c>
      <c r="B201" s="3" t="s">
        <v>592</v>
      </c>
      <c r="C201" s="3" t="s">
        <v>593</v>
      </c>
    </row>
    <row r="202" spans="1:3" x14ac:dyDescent="0.25">
      <c r="A202" s="3" t="s">
        <v>594</v>
      </c>
      <c r="B202" s="3" t="s">
        <v>592</v>
      </c>
      <c r="C202" s="3" t="s">
        <v>593</v>
      </c>
    </row>
    <row r="203" spans="1:3" x14ac:dyDescent="0.25">
      <c r="A203" s="3" t="s">
        <v>595</v>
      </c>
      <c r="B203" s="3" t="s">
        <v>596</v>
      </c>
      <c r="C203" s="3" t="s">
        <v>597</v>
      </c>
    </row>
    <row r="204" spans="1:3" x14ac:dyDescent="0.25">
      <c r="A204" s="3" t="s">
        <v>598</v>
      </c>
      <c r="B204" s="3" t="s">
        <v>596</v>
      </c>
      <c r="C204" s="3" t="s">
        <v>597</v>
      </c>
    </row>
    <row r="205" spans="1:3" x14ac:dyDescent="0.25">
      <c r="A205" s="3" t="s">
        <v>599</v>
      </c>
      <c r="B205" s="3" t="s">
        <v>600</v>
      </c>
      <c r="C205" s="3" t="s">
        <v>601</v>
      </c>
    </row>
    <row r="206" spans="1:3" x14ac:dyDescent="0.25">
      <c r="A206" s="3" t="s">
        <v>602</v>
      </c>
      <c r="B206" s="3" t="s">
        <v>603</v>
      </c>
      <c r="C206" s="3" t="s">
        <v>604</v>
      </c>
    </row>
    <row r="207" spans="1:3" x14ac:dyDescent="0.25">
      <c r="A207" s="3" t="s">
        <v>605</v>
      </c>
      <c r="B207" s="3" t="s">
        <v>606</v>
      </c>
      <c r="C207" s="3" t="s">
        <v>607</v>
      </c>
    </row>
    <row r="208" spans="1:3" x14ac:dyDescent="0.25">
      <c r="A208" s="3" t="s">
        <v>608</v>
      </c>
      <c r="B208" s="3" t="s">
        <v>609</v>
      </c>
      <c r="C208" s="3" t="s">
        <v>610</v>
      </c>
    </row>
    <row r="209" spans="1:3" x14ac:dyDescent="0.25">
      <c r="A209" s="3" t="s">
        <v>611</v>
      </c>
      <c r="B209" s="3" t="s">
        <v>609</v>
      </c>
      <c r="C209" s="3" t="s">
        <v>610</v>
      </c>
    </row>
    <row r="210" spans="1:3" x14ac:dyDescent="0.25">
      <c r="A210" s="3" t="s">
        <v>612</v>
      </c>
      <c r="B210" s="3" t="s">
        <v>609</v>
      </c>
      <c r="C210" s="3" t="s">
        <v>610</v>
      </c>
    </row>
    <row r="211" spans="1:3" x14ac:dyDescent="0.25">
      <c r="A211" s="3" t="s">
        <v>613</v>
      </c>
      <c r="B211" s="3" t="s">
        <v>614</v>
      </c>
      <c r="C211" s="3" t="s">
        <v>615</v>
      </c>
    </row>
    <row r="212" spans="1:3" x14ac:dyDescent="0.25">
      <c r="A212" s="3" t="s">
        <v>616</v>
      </c>
      <c r="B212" s="3" t="s">
        <v>617</v>
      </c>
      <c r="C212" s="3" t="s">
        <v>618</v>
      </c>
    </row>
    <row r="213" spans="1:3" x14ac:dyDescent="0.25">
      <c r="A213" s="3" t="s">
        <v>619</v>
      </c>
      <c r="B213" s="3" t="s">
        <v>617</v>
      </c>
      <c r="C213" s="3" t="s">
        <v>618</v>
      </c>
    </row>
    <row r="214" spans="1:3" x14ac:dyDescent="0.25">
      <c r="A214" s="3" t="s">
        <v>620</v>
      </c>
      <c r="B214" s="3" t="s">
        <v>621</v>
      </c>
      <c r="C214" s="3" t="s">
        <v>622</v>
      </c>
    </row>
    <row r="215" spans="1:3" x14ac:dyDescent="0.25">
      <c r="A215" s="3" t="s">
        <v>623</v>
      </c>
      <c r="B215" s="3" t="s">
        <v>621</v>
      </c>
      <c r="C215" s="3" t="s">
        <v>622</v>
      </c>
    </row>
    <row r="216" spans="1:3" x14ac:dyDescent="0.25">
      <c r="A216" s="3" t="s">
        <v>624</v>
      </c>
      <c r="B216" s="3" t="s">
        <v>625</v>
      </c>
      <c r="C216" s="3" t="s">
        <v>626</v>
      </c>
    </row>
    <row r="217" spans="1:3" x14ac:dyDescent="0.25">
      <c r="A217" s="3" t="s">
        <v>627</v>
      </c>
      <c r="B217" s="3" t="s">
        <v>625</v>
      </c>
      <c r="C217" s="3" t="s">
        <v>626</v>
      </c>
    </row>
    <row r="218" spans="1:3" x14ac:dyDescent="0.25">
      <c r="A218" s="3" t="s">
        <v>628</v>
      </c>
      <c r="B218" s="3" t="s">
        <v>625</v>
      </c>
      <c r="C218" s="3" t="s">
        <v>626</v>
      </c>
    </row>
    <row r="219" spans="1:3" x14ac:dyDescent="0.25">
      <c r="A219" s="3" t="s">
        <v>629</v>
      </c>
      <c r="B219" s="3" t="s">
        <v>630</v>
      </c>
      <c r="C219" s="3" t="s">
        <v>631</v>
      </c>
    </row>
    <row r="220" spans="1:3" x14ac:dyDescent="0.25">
      <c r="A220" s="3" t="s">
        <v>632</v>
      </c>
      <c r="B220" s="3" t="s">
        <v>633</v>
      </c>
      <c r="C220" s="3" t="s">
        <v>634</v>
      </c>
    </row>
    <row r="221" spans="1:3" x14ac:dyDescent="0.25">
      <c r="A221" s="3" t="s">
        <v>635</v>
      </c>
      <c r="B221" s="3" t="s">
        <v>636</v>
      </c>
      <c r="C221" s="3" t="s">
        <v>637</v>
      </c>
    </row>
    <row r="222" spans="1:3" x14ac:dyDescent="0.25">
      <c r="A222" s="3" t="s">
        <v>638</v>
      </c>
      <c r="B222" s="3" t="s">
        <v>639</v>
      </c>
      <c r="C222" s="3" t="s">
        <v>640</v>
      </c>
    </row>
    <row r="223" spans="1:3" x14ac:dyDescent="0.25">
      <c r="A223" s="3" t="s">
        <v>641</v>
      </c>
      <c r="B223" s="3" t="s">
        <v>642</v>
      </c>
      <c r="C223" s="3" t="s">
        <v>643</v>
      </c>
    </row>
    <row r="224" spans="1:3" x14ac:dyDescent="0.25">
      <c r="A224" s="3" t="s">
        <v>644</v>
      </c>
      <c r="B224" s="3" t="s">
        <v>645</v>
      </c>
      <c r="C224" s="3" t="s">
        <v>646</v>
      </c>
    </row>
    <row r="225" spans="1:3" x14ac:dyDescent="0.25">
      <c r="A225" s="3" t="s">
        <v>647</v>
      </c>
      <c r="B225" s="3" t="s">
        <v>648</v>
      </c>
      <c r="C225" s="3" t="s">
        <v>649</v>
      </c>
    </row>
    <row r="226" spans="1:3" x14ac:dyDescent="0.25">
      <c r="A226" s="3" t="s">
        <v>650</v>
      </c>
      <c r="B226" s="3" t="s">
        <v>651</v>
      </c>
      <c r="C226" s="3" t="s">
        <v>652</v>
      </c>
    </row>
    <row r="227" spans="1:3" x14ac:dyDescent="0.25">
      <c r="A227" s="3" t="s">
        <v>653</v>
      </c>
      <c r="B227" s="3" t="s">
        <v>654</v>
      </c>
      <c r="C227" s="3" t="s">
        <v>655</v>
      </c>
    </row>
    <row r="228" spans="1:3" x14ac:dyDescent="0.25">
      <c r="A228" s="3" t="s">
        <v>656</v>
      </c>
      <c r="B228" s="3" t="s">
        <v>657</v>
      </c>
      <c r="C228" s="3" t="s">
        <v>658</v>
      </c>
    </row>
    <row r="229" spans="1:3" x14ac:dyDescent="0.25">
      <c r="A229" s="3" t="s">
        <v>659</v>
      </c>
      <c r="B229" s="3" t="s">
        <v>660</v>
      </c>
      <c r="C229" s="3" t="s">
        <v>661</v>
      </c>
    </row>
    <row r="230" spans="1:3" x14ac:dyDescent="0.25">
      <c r="A230" s="3" t="s">
        <v>662</v>
      </c>
      <c r="B230" s="3" t="s">
        <v>660</v>
      </c>
      <c r="C230" s="3" t="s">
        <v>661</v>
      </c>
    </row>
    <row r="231" spans="1:3" x14ac:dyDescent="0.25">
      <c r="A231" s="3" t="s">
        <v>663</v>
      </c>
      <c r="B231" s="3" t="s">
        <v>664</v>
      </c>
      <c r="C231" s="3" t="s">
        <v>665</v>
      </c>
    </row>
    <row r="232" spans="1:3" x14ac:dyDescent="0.25">
      <c r="A232" s="3" t="s">
        <v>666</v>
      </c>
      <c r="B232" s="3" t="s">
        <v>664</v>
      </c>
      <c r="C232" s="3" t="s">
        <v>665</v>
      </c>
    </row>
    <row r="233" spans="1:3" x14ac:dyDescent="0.25">
      <c r="A233" s="3" t="s">
        <v>667</v>
      </c>
      <c r="B233" s="3" t="s">
        <v>668</v>
      </c>
      <c r="C233" s="3" t="s">
        <v>669</v>
      </c>
    </row>
    <row r="234" spans="1:3" x14ac:dyDescent="0.25">
      <c r="A234" s="3" t="s">
        <v>670</v>
      </c>
      <c r="B234" s="3" t="s">
        <v>671</v>
      </c>
      <c r="C234" s="3" t="s">
        <v>672</v>
      </c>
    </row>
    <row r="235" spans="1:3" x14ac:dyDescent="0.25">
      <c r="A235" s="3" t="s">
        <v>673</v>
      </c>
      <c r="B235" s="3" t="s">
        <v>674</v>
      </c>
      <c r="C235" s="3" t="s">
        <v>675</v>
      </c>
    </row>
    <row r="236" spans="1:3" x14ac:dyDescent="0.25">
      <c r="A236" s="3" t="s">
        <v>676</v>
      </c>
      <c r="B236" s="3" t="s">
        <v>674</v>
      </c>
      <c r="C236" s="3" t="s">
        <v>675</v>
      </c>
    </row>
    <row r="237" spans="1:3" x14ac:dyDescent="0.25">
      <c r="A237" s="3" t="s">
        <v>677</v>
      </c>
      <c r="B237" s="3" t="s">
        <v>678</v>
      </c>
      <c r="C237" s="3" t="s">
        <v>679</v>
      </c>
    </row>
    <row r="238" spans="1:3" x14ac:dyDescent="0.25">
      <c r="A238" s="3" t="s">
        <v>680</v>
      </c>
      <c r="B238" s="3" t="s">
        <v>681</v>
      </c>
      <c r="C238" s="3" t="s">
        <v>682</v>
      </c>
    </row>
    <row r="239" spans="1:3" x14ac:dyDescent="0.25">
      <c r="A239" s="3" t="s">
        <v>683</v>
      </c>
      <c r="B239" s="3" t="s">
        <v>681</v>
      </c>
      <c r="C239" s="3" t="s">
        <v>682</v>
      </c>
    </row>
    <row r="240" spans="1:3" x14ac:dyDescent="0.25">
      <c r="A240" s="3" t="s">
        <v>684</v>
      </c>
      <c r="B240" s="3" t="s">
        <v>685</v>
      </c>
      <c r="C240" s="3" t="s">
        <v>686</v>
      </c>
    </row>
    <row r="241" spans="1:3" x14ac:dyDescent="0.25">
      <c r="A241" s="3" t="s">
        <v>687</v>
      </c>
      <c r="B241" s="3" t="s">
        <v>688</v>
      </c>
      <c r="C241" s="3" t="s">
        <v>689</v>
      </c>
    </row>
    <row r="242" spans="1:3" x14ac:dyDescent="0.25">
      <c r="A242" s="3" t="s">
        <v>690</v>
      </c>
      <c r="B242" s="3" t="s">
        <v>688</v>
      </c>
      <c r="C242" s="3" t="s">
        <v>689</v>
      </c>
    </row>
    <row r="243" spans="1:3" x14ac:dyDescent="0.25">
      <c r="A243" s="3" t="s">
        <v>691</v>
      </c>
      <c r="B243" s="3" t="s">
        <v>692</v>
      </c>
      <c r="C243" s="3" t="s">
        <v>693</v>
      </c>
    </row>
    <row r="244" spans="1:3" x14ac:dyDescent="0.25">
      <c r="A244" s="3" t="s">
        <v>694</v>
      </c>
      <c r="B244" s="3" t="s">
        <v>695</v>
      </c>
      <c r="C244" s="3" t="s">
        <v>696</v>
      </c>
    </row>
    <row r="245" spans="1:3" x14ac:dyDescent="0.25">
      <c r="A245" s="3" t="s">
        <v>697</v>
      </c>
      <c r="B245" s="3" t="s">
        <v>698</v>
      </c>
      <c r="C245" s="3" t="s">
        <v>699</v>
      </c>
    </row>
    <row r="246" spans="1:3" x14ac:dyDescent="0.25">
      <c r="A246" s="3" t="s">
        <v>700</v>
      </c>
      <c r="B246" s="3" t="s">
        <v>698</v>
      </c>
      <c r="C246" s="3" t="s">
        <v>699</v>
      </c>
    </row>
    <row r="247" spans="1:3" x14ac:dyDescent="0.25">
      <c r="A247" s="3" t="s">
        <v>701</v>
      </c>
      <c r="B247" s="3" t="s">
        <v>702</v>
      </c>
      <c r="C247" s="3" t="s">
        <v>703</v>
      </c>
    </row>
    <row r="248" spans="1:3" x14ac:dyDescent="0.25">
      <c r="A248" s="3" t="s">
        <v>704</v>
      </c>
      <c r="B248" s="3" t="s">
        <v>705</v>
      </c>
      <c r="C248" s="3" t="s">
        <v>706</v>
      </c>
    </row>
    <row r="249" spans="1:3" x14ac:dyDescent="0.25">
      <c r="A249" s="3" t="s">
        <v>707</v>
      </c>
      <c r="B249" s="3" t="s">
        <v>705</v>
      </c>
      <c r="C249" s="3" t="s">
        <v>706</v>
      </c>
    </row>
    <row r="250" spans="1:3" x14ac:dyDescent="0.25">
      <c r="A250" s="3" t="s">
        <v>708</v>
      </c>
      <c r="B250" s="3" t="s">
        <v>709</v>
      </c>
      <c r="C250" s="3" t="s">
        <v>710</v>
      </c>
    </row>
    <row r="251" spans="1:3" x14ac:dyDescent="0.25">
      <c r="A251" s="3" t="s">
        <v>711</v>
      </c>
      <c r="B251" s="3" t="s">
        <v>712</v>
      </c>
      <c r="C251" s="3" t="s">
        <v>713</v>
      </c>
    </row>
    <row r="252" spans="1:3" x14ac:dyDescent="0.25">
      <c r="A252" s="3" t="s">
        <v>714</v>
      </c>
      <c r="B252" s="3" t="s">
        <v>712</v>
      </c>
      <c r="C252" s="3" t="s">
        <v>713</v>
      </c>
    </row>
    <row r="253" spans="1:3" x14ac:dyDescent="0.25">
      <c r="A253" s="3" t="s">
        <v>715</v>
      </c>
      <c r="B253" s="3" t="s">
        <v>716</v>
      </c>
      <c r="C253" s="3" t="s">
        <v>717</v>
      </c>
    </row>
    <row r="254" spans="1:3" x14ac:dyDescent="0.25">
      <c r="A254" s="3" t="s">
        <v>718</v>
      </c>
      <c r="B254" s="3" t="s">
        <v>716</v>
      </c>
      <c r="C254" s="3" t="s">
        <v>717</v>
      </c>
    </row>
    <row r="255" spans="1:3" x14ac:dyDescent="0.25">
      <c r="A255" s="3" t="s">
        <v>719</v>
      </c>
      <c r="B255" s="3" t="s">
        <v>716</v>
      </c>
      <c r="C255" s="3" t="s">
        <v>717</v>
      </c>
    </row>
    <row r="256" spans="1:3" x14ac:dyDescent="0.25">
      <c r="A256" s="3" t="s">
        <v>720</v>
      </c>
      <c r="B256" s="3" t="s">
        <v>721</v>
      </c>
      <c r="C256" s="3" t="s">
        <v>722</v>
      </c>
    </row>
    <row r="257" spans="1:3" x14ac:dyDescent="0.25">
      <c r="A257" s="3" t="s">
        <v>723</v>
      </c>
      <c r="B257" s="3" t="s">
        <v>721</v>
      </c>
      <c r="C257" s="3" t="s">
        <v>722</v>
      </c>
    </row>
    <row r="258" spans="1:3" x14ac:dyDescent="0.25">
      <c r="A258" s="3" t="s">
        <v>724</v>
      </c>
      <c r="B258" s="3" t="s">
        <v>725</v>
      </c>
      <c r="C258" s="3" t="s">
        <v>726</v>
      </c>
    </row>
    <row r="259" spans="1:3" x14ac:dyDescent="0.25">
      <c r="A259" s="3" t="s">
        <v>727</v>
      </c>
      <c r="B259" s="3" t="s">
        <v>728</v>
      </c>
      <c r="C259" s="3" t="s">
        <v>729</v>
      </c>
    </row>
    <row r="260" spans="1:3" x14ac:dyDescent="0.25">
      <c r="A260" s="3" t="s">
        <v>730</v>
      </c>
      <c r="B260" s="3" t="s">
        <v>731</v>
      </c>
      <c r="C260" s="3" t="s">
        <v>732</v>
      </c>
    </row>
    <row r="261" spans="1:3" x14ac:dyDescent="0.25">
      <c r="A261" s="3" t="s">
        <v>733</v>
      </c>
      <c r="B261" s="3" t="s">
        <v>734</v>
      </c>
      <c r="C261" s="3" t="s">
        <v>735</v>
      </c>
    </row>
    <row r="262" spans="1:3" x14ac:dyDescent="0.25">
      <c r="A262" s="3" t="s">
        <v>736</v>
      </c>
      <c r="B262" s="3" t="s">
        <v>737</v>
      </c>
      <c r="C262" s="3" t="s">
        <v>738</v>
      </c>
    </row>
    <row r="263" spans="1:3" x14ac:dyDescent="0.25">
      <c r="A263" s="3" t="s">
        <v>739</v>
      </c>
      <c r="B263" s="3" t="s">
        <v>737</v>
      </c>
      <c r="C263" s="3" t="s">
        <v>738</v>
      </c>
    </row>
    <row r="264" spans="1:3" x14ac:dyDescent="0.25">
      <c r="A264" s="3" t="s">
        <v>740</v>
      </c>
      <c r="B264" s="3" t="s">
        <v>737</v>
      </c>
      <c r="C264" s="3" t="s">
        <v>738</v>
      </c>
    </row>
    <row r="265" spans="1:3" x14ac:dyDescent="0.25">
      <c r="A265" s="3" t="s">
        <v>741</v>
      </c>
      <c r="B265" s="3" t="s">
        <v>737</v>
      </c>
      <c r="C265" s="3" t="s">
        <v>738</v>
      </c>
    </row>
    <row r="266" spans="1:3" x14ac:dyDescent="0.25">
      <c r="A266" s="3" t="s">
        <v>742</v>
      </c>
      <c r="B266" s="3" t="s">
        <v>743</v>
      </c>
      <c r="C266" s="3" t="s">
        <v>744</v>
      </c>
    </row>
    <row r="267" spans="1:3" x14ac:dyDescent="0.25">
      <c r="A267" s="3" t="s">
        <v>745</v>
      </c>
      <c r="B267" s="3" t="s">
        <v>743</v>
      </c>
      <c r="C267" s="3" t="s">
        <v>744</v>
      </c>
    </row>
    <row r="268" spans="1:3" x14ac:dyDescent="0.25">
      <c r="A268" s="3" t="s">
        <v>746</v>
      </c>
      <c r="B268" s="3" t="s">
        <v>747</v>
      </c>
      <c r="C268" s="3" t="s">
        <v>748</v>
      </c>
    </row>
    <row r="269" spans="1:3" x14ac:dyDescent="0.25">
      <c r="A269" s="3" t="s">
        <v>749</v>
      </c>
      <c r="B269" s="3" t="s">
        <v>747</v>
      </c>
      <c r="C269" s="3" t="s">
        <v>748</v>
      </c>
    </row>
    <row r="270" spans="1:3" x14ac:dyDescent="0.25">
      <c r="A270" s="3" t="s">
        <v>750</v>
      </c>
      <c r="B270" s="3" t="s">
        <v>747</v>
      </c>
      <c r="C270" s="3" t="s">
        <v>748</v>
      </c>
    </row>
    <row r="271" spans="1:3" x14ac:dyDescent="0.25">
      <c r="A271" s="3" t="s">
        <v>751</v>
      </c>
      <c r="B271" s="3" t="s">
        <v>752</v>
      </c>
      <c r="C271" s="3" t="s">
        <v>753</v>
      </c>
    </row>
    <row r="272" spans="1:3" x14ac:dyDescent="0.25">
      <c r="A272" s="3" t="s">
        <v>754</v>
      </c>
      <c r="B272" s="3" t="s">
        <v>752</v>
      </c>
      <c r="C272" s="3" t="s">
        <v>753</v>
      </c>
    </row>
    <row r="273" spans="1:3" x14ac:dyDescent="0.25">
      <c r="A273" s="3" t="s">
        <v>755</v>
      </c>
      <c r="B273" s="3" t="s">
        <v>752</v>
      </c>
      <c r="C273" s="3" t="s">
        <v>753</v>
      </c>
    </row>
    <row r="274" spans="1:3" x14ac:dyDescent="0.25">
      <c r="A274" s="3" t="s">
        <v>756</v>
      </c>
      <c r="B274" s="3" t="s">
        <v>752</v>
      </c>
      <c r="C274" s="3" t="s">
        <v>753</v>
      </c>
    </row>
    <row r="275" spans="1:3" x14ac:dyDescent="0.25">
      <c r="A275" s="3" t="s">
        <v>757</v>
      </c>
      <c r="B275" s="3" t="s">
        <v>758</v>
      </c>
      <c r="C275" s="3" t="s">
        <v>759</v>
      </c>
    </row>
    <row r="276" spans="1:3" x14ac:dyDescent="0.25">
      <c r="A276" s="3" t="s">
        <v>760</v>
      </c>
      <c r="B276" s="3" t="s">
        <v>761</v>
      </c>
      <c r="C276" s="3" t="s">
        <v>762</v>
      </c>
    </row>
    <row r="277" spans="1:3" x14ac:dyDescent="0.25">
      <c r="A277" s="3" t="s">
        <v>763</v>
      </c>
      <c r="B277" s="3" t="s">
        <v>761</v>
      </c>
      <c r="C277" s="3" t="s">
        <v>762</v>
      </c>
    </row>
    <row r="278" spans="1:3" x14ac:dyDescent="0.25">
      <c r="A278" s="3" t="s">
        <v>764</v>
      </c>
      <c r="B278" s="3" t="s">
        <v>765</v>
      </c>
      <c r="C278" s="3" t="s">
        <v>766</v>
      </c>
    </row>
    <row r="279" spans="1:3" x14ac:dyDescent="0.25">
      <c r="A279" s="3" t="s">
        <v>767</v>
      </c>
      <c r="B279" s="3" t="s">
        <v>768</v>
      </c>
      <c r="C279" s="3" t="s">
        <v>769</v>
      </c>
    </row>
    <row r="280" spans="1:3" x14ac:dyDescent="0.25">
      <c r="A280" s="3" t="s">
        <v>770</v>
      </c>
      <c r="B280" s="3" t="s">
        <v>768</v>
      </c>
      <c r="C280" s="3" t="s">
        <v>769</v>
      </c>
    </row>
    <row r="281" spans="1:3" x14ac:dyDescent="0.25">
      <c r="A281" s="3" t="s">
        <v>771</v>
      </c>
      <c r="B281" s="3" t="s">
        <v>772</v>
      </c>
      <c r="C281" s="3" t="s">
        <v>773</v>
      </c>
    </row>
    <row r="282" spans="1:3" x14ac:dyDescent="0.25">
      <c r="A282" s="3" t="s">
        <v>774</v>
      </c>
      <c r="B282" s="3" t="s">
        <v>775</v>
      </c>
      <c r="C282" s="3" t="s">
        <v>776</v>
      </c>
    </row>
    <row r="283" spans="1:3" x14ac:dyDescent="0.25">
      <c r="A283" s="3" t="s">
        <v>777</v>
      </c>
      <c r="B283" s="3" t="s">
        <v>778</v>
      </c>
      <c r="C283" s="3" t="s">
        <v>779</v>
      </c>
    </row>
    <row r="284" spans="1:3" x14ac:dyDescent="0.25">
      <c r="A284" s="3" t="s">
        <v>780</v>
      </c>
      <c r="B284" s="3" t="s">
        <v>781</v>
      </c>
      <c r="C284" s="3" t="s">
        <v>782</v>
      </c>
    </row>
    <row r="285" spans="1:3" x14ac:dyDescent="0.25">
      <c r="A285" s="3" t="s">
        <v>783</v>
      </c>
      <c r="B285" s="3" t="s">
        <v>784</v>
      </c>
      <c r="C285" s="3" t="s">
        <v>785</v>
      </c>
    </row>
    <row r="286" spans="1:3" x14ac:dyDescent="0.25">
      <c r="A286" s="3" t="s">
        <v>786</v>
      </c>
      <c r="B286" s="3" t="s">
        <v>787</v>
      </c>
      <c r="C286" s="3" t="s">
        <v>788</v>
      </c>
    </row>
    <row r="287" spans="1:3" x14ac:dyDescent="0.25">
      <c r="A287" s="3" t="s">
        <v>789</v>
      </c>
      <c r="B287" s="3" t="s">
        <v>787</v>
      </c>
      <c r="C287" s="3" t="s">
        <v>788</v>
      </c>
    </row>
    <row r="288" spans="1:3" x14ac:dyDescent="0.25">
      <c r="A288" s="3" t="s">
        <v>790</v>
      </c>
      <c r="B288" s="3" t="s">
        <v>791</v>
      </c>
      <c r="C288" s="3" t="s">
        <v>792</v>
      </c>
    </row>
    <row r="289" spans="1:3" x14ac:dyDescent="0.25">
      <c r="A289" s="3" t="s">
        <v>793</v>
      </c>
      <c r="B289" s="3" t="s">
        <v>794</v>
      </c>
      <c r="C289" s="3" t="s">
        <v>795</v>
      </c>
    </row>
    <row r="290" spans="1:3" x14ac:dyDescent="0.25">
      <c r="A290" s="3" t="s">
        <v>796</v>
      </c>
      <c r="B290" s="3" t="s">
        <v>797</v>
      </c>
      <c r="C290" s="3" t="s">
        <v>798</v>
      </c>
    </row>
    <row r="291" spans="1:3" x14ac:dyDescent="0.25">
      <c r="A291" s="3" t="s">
        <v>799</v>
      </c>
      <c r="B291" s="3" t="s">
        <v>797</v>
      </c>
      <c r="C291" s="3" t="s">
        <v>798</v>
      </c>
    </row>
    <row r="292" spans="1:3" x14ac:dyDescent="0.25">
      <c r="A292" s="3" t="s">
        <v>800</v>
      </c>
      <c r="B292" s="3" t="s">
        <v>801</v>
      </c>
      <c r="C292" s="3" t="s">
        <v>802</v>
      </c>
    </row>
    <row r="293" spans="1:3" x14ac:dyDescent="0.25">
      <c r="A293" s="3" t="s">
        <v>803</v>
      </c>
      <c r="B293" s="3" t="s">
        <v>804</v>
      </c>
      <c r="C293" s="3" t="s">
        <v>805</v>
      </c>
    </row>
    <row r="294" spans="1:3" x14ac:dyDescent="0.25">
      <c r="A294" s="3" t="s">
        <v>806</v>
      </c>
      <c r="B294" s="3" t="s">
        <v>807</v>
      </c>
      <c r="C294" s="3" t="s">
        <v>808</v>
      </c>
    </row>
    <row r="295" spans="1:3" x14ac:dyDescent="0.25">
      <c r="A295" s="3" t="s">
        <v>809</v>
      </c>
      <c r="B295" s="3" t="s">
        <v>810</v>
      </c>
      <c r="C295" s="3" t="s">
        <v>811</v>
      </c>
    </row>
    <row r="296" spans="1:3" x14ac:dyDescent="0.25">
      <c r="A296" s="3" t="s">
        <v>812</v>
      </c>
      <c r="B296" s="3" t="s">
        <v>810</v>
      </c>
      <c r="C296" s="3" t="s">
        <v>811</v>
      </c>
    </row>
    <row r="297" spans="1:3" x14ac:dyDescent="0.25">
      <c r="A297" s="3" t="s">
        <v>813</v>
      </c>
      <c r="B297" s="3" t="s">
        <v>814</v>
      </c>
      <c r="C297" s="3" t="s">
        <v>815</v>
      </c>
    </row>
    <row r="298" spans="1:3" x14ac:dyDescent="0.25">
      <c r="A298" s="3" t="s">
        <v>816</v>
      </c>
      <c r="B298" s="3" t="s">
        <v>817</v>
      </c>
      <c r="C298" s="3" t="s">
        <v>818</v>
      </c>
    </row>
    <row r="299" spans="1:3" x14ac:dyDescent="0.25">
      <c r="A299" s="3" t="s">
        <v>819</v>
      </c>
      <c r="B299" s="3" t="s">
        <v>820</v>
      </c>
      <c r="C299" s="3" t="s">
        <v>821</v>
      </c>
    </row>
    <row r="300" spans="1:3" x14ac:dyDescent="0.25">
      <c r="A300" s="3" t="s">
        <v>822</v>
      </c>
      <c r="B300" s="3" t="s">
        <v>823</v>
      </c>
      <c r="C300" s="3" t="s">
        <v>824</v>
      </c>
    </row>
    <row r="301" spans="1:3" x14ac:dyDescent="0.25">
      <c r="A301" s="3" t="s">
        <v>825</v>
      </c>
      <c r="B301" s="3" t="s">
        <v>826</v>
      </c>
      <c r="C301" s="3" t="s">
        <v>827</v>
      </c>
    </row>
    <row r="302" spans="1:3" x14ac:dyDescent="0.25">
      <c r="A302" s="3" t="s">
        <v>828</v>
      </c>
      <c r="B302" s="3" t="s">
        <v>829</v>
      </c>
      <c r="C302" s="3" t="s">
        <v>830</v>
      </c>
    </row>
    <row r="303" spans="1:3" x14ac:dyDescent="0.25">
      <c r="A303" s="3" t="s">
        <v>831</v>
      </c>
      <c r="B303" s="3" t="s">
        <v>832</v>
      </c>
      <c r="C303" s="3" t="s">
        <v>833</v>
      </c>
    </row>
    <row r="304" spans="1:3" x14ac:dyDescent="0.25">
      <c r="A304" s="3" t="s">
        <v>834</v>
      </c>
      <c r="B304" s="3" t="s">
        <v>835</v>
      </c>
      <c r="C304" s="3" t="s">
        <v>836</v>
      </c>
    </row>
    <row r="305" spans="1:3" x14ac:dyDescent="0.25">
      <c r="A305" s="3" t="s">
        <v>837</v>
      </c>
      <c r="B305" s="3" t="s">
        <v>838</v>
      </c>
      <c r="C305" s="3" t="s">
        <v>839</v>
      </c>
    </row>
    <row r="306" spans="1:3" x14ac:dyDescent="0.25">
      <c r="A306" s="3" t="s">
        <v>840</v>
      </c>
      <c r="B306" s="3" t="s">
        <v>841</v>
      </c>
      <c r="C306" s="3" t="s">
        <v>842</v>
      </c>
    </row>
    <row r="307" spans="1:3" x14ac:dyDescent="0.25">
      <c r="A307" s="3" t="s">
        <v>843</v>
      </c>
      <c r="B307" s="3" t="s">
        <v>844</v>
      </c>
      <c r="C307" s="3" t="s">
        <v>845</v>
      </c>
    </row>
    <row r="308" spans="1:3" x14ac:dyDescent="0.25">
      <c r="A308" s="3" t="s">
        <v>846</v>
      </c>
      <c r="B308" s="3" t="s">
        <v>847</v>
      </c>
      <c r="C308" s="3" t="s">
        <v>848</v>
      </c>
    </row>
    <row r="309" spans="1:3" x14ac:dyDescent="0.25">
      <c r="A309" s="3" t="s">
        <v>849</v>
      </c>
      <c r="B309" s="3" t="s">
        <v>850</v>
      </c>
      <c r="C309" s="3" t="s">
        <v>851</v>
      </c>
    </row>
    <row r="310" spans="1:3" x14ac:dyDescent="0.25">
      <c r="A310" s="3" t="s">
        <v>852</v>
      </c>
      <c r="B310" s="3" t="s">
        <v>853</v>
      </c>
      <c r="C310" s="3" t="s">
        <v>854</v>
      </c>
    </row>
    <row r="311" spans="1:3" x14ac:dyDescent="0.25">
      <c r="A311" s="3" t="s">
        <v>855</v>
      </c>
      <c r="B311" s="3" t="s">
        <v>856</v>
      </c>
      <c r="C311" s="3" t="s">
        <v>857</v>
      </c>
    </row>
    <row r="312" spans="1:3" x14ac:dyDescent="0.25">
      <c r="A312" s="3" t="s">
        <v>858</v>
      </c>
      <c r="B312" s="3" t="s">
        <v>859</v>
      </c>
      <c r="C312" s="3" t="s">
        <v>860</v>
      </c>
    </row>
    <row r="313" spans="1:3" x14ac:dyDescent="0.25">
      <c r="A313" s="3" t="s">
        <v>861</v>
      </c>
      <c r="B313" s="3" t="s">
        <v>862</v>
      </c>
      <c r="C313" s="3" t="s">
        <v>863</v>
      </c>
    </row>
    <row r="314" spans="1:3" x14ac:dyDescent="0.25">
      <c r="A314" s="3" t="s">
        <v>864</v>
      </c>
      <c r="B314" s="3" t="s">
        <v>862</v>
      </c>
      <c r="C314" s="3" t="s">
        <v>863</v>
      </c>
    </row>
    <row r="315" spans="1:3" x14ac:dyDescent="0.25">
      <c r="A315" s="3" t="s">
        <v>865</v>
      </c>
      <c r="B315" s="3" t="s">
        <v>862</v>
      </c>
      <c r="C315" s="3" t="s">
        <v>863</v>
      </c>
    </row>
    <row r="316" spans="1:3" x14ac:dyDescent="0.25">
      <c r="A316" s="3" t="s">
        <v>866</v>
      </c>
      <c r="B316" s="3" t="s">
        <v>867</v>
      </c>
      <c r="C316" s="3" t="s">
        <v>868</v>
      </c>
    </row>
    <row r="317" spans="1:3" x14ac:dyDescent="0.25">
      <c r="A317" s="3" t="s">
        <v>869</v>
      </c>
      <c r="B317" s="3" t="s">
        <v>870</v>
      </c>
      <c r="C317" s="3" t="s">
        <v>871</v>
      </c>
    </row>
    <row r="318" spans="1:3" x14ac:dyDescent="0.25">
      <c r="A318" s="3" t="s">
        <v>872</v>
      </c>
      <c r="B318" s="3" t="s">
        <v>873</v>
      </c>
      <c r="C318" s="3" t="s">
        <v>874</v>
      </c>
    </row>
    <row r="319" spans="1:3" x14ac:dyDescent="0.25">
      <c r="A319" s="3" t="s">
        <v>875</v>
      </c>
      <c r="B319" s="3" t="s">
        <v>876</v>
      </c>
      <c r="C319" s="3" t="s">
        <v>877</v>
      </c>
    </row>
    <row r="320" spans="1:3" x14ac:dyDescent="0.25">
      <c r="A320" s="3" t="s">
        <v>878</v>
      </c>
      <c r="B320" s="3" t="s">
        <v>879</v>
      </c>
      <c r="C320" s="3" t="s">
        <v>880</v>
      </c>
    </row>
    <row r="321" spans="1:3" x14ac:dyDescent="0.25">
      <c r="A321" s="3" t="s">
        <v>881</v>
      </c>
      <c r="B321" s="3" t="s">
        <v>882</v>
      </c>
      <c r="C321" s="3" t="s">
        <v>883</v>
      </c>
    </row>
    <row r="322" spans="1:3" x14ac:dyDescent="0.25">
      <c r="A322" s="3" t="s">
        <v>884</v>
      </c>
      <c r="B322" s="3" t="s">
        <v>882</v>
      </c>
      <c r="C322" s="3" t="s">
        <v>883</v>
      </c>
    </row>
    <row r="323" spans="1:3" x14ac:dyDescent="0.25">
      <c r="A323" s="3" t="s">
        <v>885</v>
      </c>
      <c r="B323" s="3" t="s">
        <v>886</v>
      </c>
      <c r="C323" s="3" t="s">
        <v>887</v>
      </c>
    </row>
    <row r="324" spans="1:3" x14ac:dyDescent="0.25">
      <c r="A324" s="3" t="s">
        <v>888</v>
      </c>
      <c r="B324" s="3" t="s">
        <v>889</v>
      </c>
      <c r="C324" s="3" t="s">
        <v>890</v>
      </c>
    </row>
    <row r="325" spans="1:3" x14ac:dyDescent="0.25">
      <c r="A325" s="3" t="s">
        <v>891</v>
      </c>
      <c r="B325" s="3" t="s">
        <v>889</v>
      </c>
      <c r="C325" s="3" t="s">
        <v>890</v>
      </c>
    </row>
    <row r="326" spans="1:3" x14ac:dyDescent="0.25">
      <c r="A326" s="3" t="s">
        <v>892</v>
      </c>
      <c r="B326" s="3" t="s">
        <v>893</v>
      </c>
      <c r="C326" s="3" t="s">
        <v>894</v>
      </c>
    </row>
    <row r="327" spans="1:3" x14ac:dyDescent="0.25">
      <c r="A327" s="3" t="s">
        <v>895</v>
      </c>
      <c r="B327" s="3" t="s">
        <v>896</v>
      </c>
      <c r="C327" s="3" t="s">
        <v>897</v>
      </c>
    </row>
    <row r="328" spans="1:3" x14ac:dyDescent="0.25">
      <c r="A328" s="3" t="s">
        <v>898</v>
      </c>
      <c r="B328" s="3" t="s">
        <v>899</v>
      </c>
      <c r="C328" s="3" t="s">
        <v>900</v>
      </c>
    </row>
    <row r="329" spans="1:3" x14ac:dyDescent="0.25">
      <c r="A329" s="3" t="s">
        <v>901</v>
      </c>
      <c r="B329" s="3" t="s">
        <v>902</v>
      </c>
      <c r="C329" s="3" t="s">
        <v>903</v>
      </c>
    </row>
    <row r="330" spans="1:3" x14ac:dyDescent="0.25">
      <c r="A330" s="3" t="s">
        <v>904</v>
      </c>
      <c r="B330" s="3" t="s">
        <v>902</v>
      </c>
      <c r="C330" s="3" t="s">
        <v>903</v>
      </c>
    </row>
    <row r="331" spans="1:3" x14ac:dyDescent="0.25">
      <c r="A331" s="3" t="s">
        <v>905</v>
      </c>
      <c r="B331" s="3" t="s">
        <v>906</v>
      </c>
      <c r="C331" s="3" t="s">
        <v>907</v>
      </c>
    </row>
    <row r="332" spans="1:3" x14ac:dyDescent="0.25">
      <c r="A332" s="3" t="s">
        <v>908</v>
      </c>
      <c r="B332" s="3" t="s">
        <v>906</v>
      </c>
      <c r="C332" s="3" t="s">
        <v>907</v>
      </c>
    </row>
    <row r="333" spans="1:3" x14ac:dyDescent="0.25">
      <c r="A333" s="3" t="s">
        <v>909</v>
      </c>
      <c r="B333" s="3" t="s">
        <v>906</v>
      </c>
      <c r="C333" s="3" t="s">
        <v>907</v>
      </c>
    </row>
    <row r="334" spans="1:3" x14ac:dyDescent="0.25">
      <c r="A334" s="3" t="s">
        <v>910</v>
      </c>
      <c r="B334" s="3" t="s">
        <v>911</v>
      </c>
      <c r="C334" s="3" t="s">
        <v>912</v>
      </c>
    </row>
    <row r="335" spans="1:3" x14ac:dyDescent="0.25">
      <c r="A335" s="3" t="s">
        <v>913</v>
      </c>
      <c r="B335" s="3" t="s">
        <v>914</v>
      </c>
      <c r="C335" s="3" t="s">
        <v>915</v>
      </c>
    </row>
    <row r="336" spans="1:3" x14ac:dyDescent="0.25">
      <c r="A336" s="3" t="s">
        <v>916</v>
      </c>
      <c r="B336" s="3" t="s">
        <v>914</v>
      </c>
      <c r="C336" s="3" t="s">
        <v>915</v>
      </c>
    </row>
    <row r="337" spans="1:3" x14ac:dyDescent="0.25">
      <c r="A337" s="3" t="s">
        <v>917</v>
      </c>
      <c r="B337" s="3" t="s">
        <v>918</v>
      </c>
      <c r="C337" s="3" t="s">
        <v>919</v>
      </c>
    </row>
    <row r="338" spans="1:3" x14ac:dyDescent="0.25">
      <c r="A338" s="3" t="s">
        <v>920</v>
      </c>
      <c r="B338" s="3" t="s">
        <v>921</v>
      </c>
      <c r="C338" s="3" t="s">
        <v>922</v>
      </c>
    </row>
    <row r="339" spans="1:3" x14ac:dyDescent="0.25">
      <c r="A339" s="3" t="s">
        <v>923</v>
      </c>
      <c r="B339" s="3" t="s">
        <v>924</v>
      </c>
      <c r="C339" s="3" t="s">
        <v>925</v>
      </c>
    </row>
    <row r="340" spans="1:3" x14ac:dyDescent="0.25">
      <c r="A340" s="3" t="s">
        <v>926</v>
      </c>
      <c r="B340" s="3" t="s">
        <v>927</v>
      </c>
      <c r="C340" s="3" t="s">
        <v>928</v>
      </c>
    </row>
    <row r="341" spans="1:3" x14ac:dyDescent="0.25">
      <c r="A341" s="3" t="s">
        <v>929</v>
      </c>
      <c r="B341" s="3" t="s">
        <v>930</v>
      </c>
      <c r="C341" s="3" t="s">
        <v>931</v>
      </c>
    </row>
    <row r="342" spans="1:3" x14ac:dyDescent="0.25">
      <c r="A342" s="3" t="s">
        <v>932</v>
      </c>
      <c r="B342" s="3" t="s">
        <v>933</v>
      </c>
      <c r="C342" s="3" t="s">
        <v>934</v>
      </c>
    </row>
    <row r="343" spans="1:3" x14ac:dyDescent="0.25">
      <c r="A343" s="3" t="s">
        <v>935</v>
      </c>
      <c r="B343" s="3" t="s">
        <v>933</v>
      </c>
      <c r="C343" s="3" t="s">
        <v>934</v>
      </c>
    </row>
    <row r="344" spans="1:3" x14ac:dyDescent="0.25">
      <c r="A344" s="3" t="s">
        <v>936</v>
      </c>
      <c r="B344" s="3" t="s">
        <v>937</v>
      </c>
      <c r="C344" s="3" t="s">
        <v>938</v>
      </c>
    </row>
    <row r="345" spans="1:3" x14ac:dyDescent="0.25">
      <c r="A345" s="3" t="s">
        <v>939</v>
      </c>
      <c r="B345" s="3" t="s">
        <v>940</v>
      </c>
      <c r="C345" s="3" t="s">
        <v>941</v>
      </c>
    </row>
    <row r="346" spans="1:3" x14ac:dyDescent="0.25">
      <c r="A346" s="3" t="s">
        <v>942</v>
      </c>
      <c r="B346" s="3" t="s">
        <v>943</v>
      </c>
      <c r="C346" s="3" t="s">
        <v>944</v>
      </c>
    </row>
    <row r="347" spans="1:3" x14ac:dyDescent="0.25">
      <c r="A347" s="3" t="s">
        <v>945</v>
      </c>
      <c r="B347" s="3" t="s">
        <v>946</v>
      </c>
      <c r="C347" s="3" t="s">
        <v>947</v>
      </c>
    </row>
    <row r="348" spans="1:3" x14ac:dyDescent="0.25">
      <c r="A348" s="3" t="s">
        <v>948</v>
      </c>
      <c r="B348" s="3" t="s">
        <v>946</v>
      </c>
      <c r="C348" s="3" t="s">
        <v>947</v>
      </c>
    </row>
    <row r="349" spans="1:3" x14ac:dyDescent="0.25">
      <c r="A349" s="3" t="s">
        <v>949</v>
      </c>
      <c r="B349" s="3" t="s">
        <v>946</v>
      </c>
      <c r="C349" s="3" t="s">
        <v>947</v>
      </c>
    </row>
    <row r="350" spans="1:3" x14ac:dyDescent="0.25">
      <c r="A350" s="3" t="s">
        <v>950</v>
      </c>
      <c r="B350" s="3" t="s">
        <v>951</v>
      </c>
      <c r="C350" s="3" t="s">
        <v>952</v>
      </c>
    </row>
    <row r="351" spans="1:3" x14ac:dyDescent="0.25">
      <c r="A351" s="3" t="s">
        <v>953</v>
      </c>
      <c r="B351" s="3" t="s">
        <v>954</v>
      </c>
      <c r="C351" s="3" t="s">
        <v>955</v>
      </c>
    </row>
    <row r="352" spans="1:3" x14ac:dyDescent="0.25">
      <c r="A352" s="3" t="s">
        <v>956</v>
      </c>
      <c r="B352" s="3" t="s">
        <v>954</v>
      </c>
      <c r="C352" s="3" t="s">
        <v>955</v>
      </c>
    </row>
    <row r="353" spans="1:3" x14ac:dyDescent="0.25">
      <c r="A353" s="3" t="s">
        <v>957</v>
      </c>
      <c r="B353" s="3" t="s">
        <v>958</v>
      </c>
      <c r="C353" s="3" t="s">
        <v>959</v>
      </c>
    </row>
    <row r="354" spans="1:3" x14ac:dyDescent="0.25">
      <c r="A354" s="3" t="s">
        <v>960</v>
      </c>
      <c r="B354" s="3" t="s">
        <v>961</v>
      </c>
      <c r="C354" s="3" t="s">
        <v>962</v>
      </c>
    </row>
    <row r="355" spans="1:3" x14ac:dyDescent="0.25">
      <c r="A355" s="3" t="s">
        <v>963</v>
      </c>
      <c r="B355" s="3" t="s">
        <v>964</v>
      </c>
      <c r="C355" s="3" t="s">
        <v>965</v>
      </c>
    </row>
    <row r="356" spans="1:3" x14ac:dyDescent="0.25">
      <c r="A356" s="3" t="s">
        <v>966</v>
      </c>
      <c r="B356" s="3" t="s">
        <v>967</v>
      </c>
      <c r="C356" s="3" t="s">
        <v>968</v>
      </c>
    </row>
    <row r="357" spans="1:3" x14ac:dyDescent="0.25">
      <c r="A357" s="3" t="s">
        <v>969</v>
      </c>
      <c r="B357" s="3" t="s">
        <v>970</v>
      </c>
      <c r="C357" s="3" t="s">
        <v>971</v>
      </c>
    </row>
    <row r="358" spans="1:3" x14ac:dyDescent="0.25">
      <c r="A358" s="3" t="s">
        <v>972</v>
      </c>
      <c r="B358" s="3" t="s">
        <v>973</v>
      </c>
      <c r="C358" s="3" t="s">
        <v>974</v>
      </c>
    </row>
    <row r="359" spans="1:3" x14ac:dyDescent="0.25">
      <c r="A359" s="3" t="s">
        <v>975</v>
      </c>
      <c r="B359" s="3" t="s">
        <v>976</v>
      </c>
      <c r="C359" s="3" t="s">
        <v>977</v>
      </c>
    </row>
    <row r="360" spans="1:3" x14ac:dyDescent="0.25">
      <c r="A360" s="3" t="s">
        <v>978</v>
      </c>
      <c r="B360" s="3" t="s">
        <v>979</v>
      </c>
      <c r="C360" s="3" t="s">
        <v>980</v>
      </c>
    </row>
    <row r="361" spans="1:3" x14ac:dyDescent="0.25">
      <c r="A361" s="3" t="s">
        <v>981</v>
      </c>
      <c r="B361" s="3" t="s">
        <v>982</v>
      </c>
      <c r="C361" s="3" t="s">
        <v>983</v>
      </c>
    </row>
    <row r="362" spans="1:3" x14ac:dyDescent="0.25">
      <c r="A362" s="3" t="s">
        <v>984</v>
      </c>
      <c r="B362" s="3" t="s">
        <v>982</v>
      </c>
      <c r="C362" s="3" t="s">
        <v>983</v>
      </c>
    </row>
    <row r="363" spans="1:3" x14ac:dyDescent="0.25">
      <c r="A363" s="3" t="s">
        <v>985</v>
      </c>
      <c r="B363" s="3" t="s">
        <v>986</v>
      </c>
      <c r="C363" s="3" t="s">
        <v>987</v>
      </c>
    </row>
    <row r="364" spans="1:3" x14ac:dyDescent="0.25">
      <c r="A364" s="3" t="s">
        <v>988</v>
      </c>
      <c r="B364" s="3" t="s">
        <v>989</v>
      </c>
      <c r="C364" s="3" t="s">
        <v>990</v>
      </c>
    </row>
    <row r="365" spans="1:3" x14ac:dyDescent="0.25">
      <c r="A365" s="3" t="s">
        <v>991</v>
      </c>
      <c r="B365" s="3" t="s">
        <v>992</v>
      </c>
      <c r="C365" s="3" t="s">
        <v>993</v>
      </c>
    </row>
    <row r="366" spans="1:3" x14ac:dyDescent="0.25">
      <c r="A366" s="3" t="s">
        <v>994</v>
      </c>
      <c r="B366" s="3" t="s">
        <v>995</v>
      </c>
      <c r="C366" s="3" t="s">
        <v>996</v>
      </c>
    </row>
    <row r="367" spans="1:3" x14ac:dyDescent="0.25">
      <c r="A367" s="3" t="s">
        <v>997</v>
      </c>
      <c r="B367" s="3" t="s">
        <v>998</v>
      </c>
      <c r="C367" s="3" t="s">
        <v>999</v>
      </c>
    </row>
    <row r="368" spans="1:3" x14ac:dyDescent="0.25">
      <c r="A368" s="3" t="s">
        <v>1000</v>
      </c>
      <c r="B368" s="3" t="s">
        <v>998</v>
      </c>
      <c r="C368" s="3" t="s">
        <v>999</v>
      </c>
    </row>
    <row r="369" spans="1:3" x14ac:dyDescent="0.25">
      <c r="A369" s="3" t="s">
        <v>1001</v>
      </c>
      <c r="B369" s="3" t="s">
        <v>1002</v>
      </c>
      <c r="C369" s="3" t="s">
        <v>1003</v>
      </c>
    </row>
    <row r="370" spans="1:3" x14ac:dyDescent="0.25">
      <c r="A370" s="3" t="s">
        <v>1004</v>
      </c>
      <c r="B370" s="3" t="s">
        <v>1005</v>
      </c>
      <c r="C370" s="3" t="s">
        <v>1006</v>
      </c>
    </row>
    <row r="371" spans="1:3" x14ac:dyDescent="0.25">
      <c r="A371" s="3" t="s">
        <v>1007</v>
      </c>
      <c r="B371" s="3" t="s">
        <v>1008</v>
      </c>
      <c r="C371" s="3" t="s">
        <v>1009</v>
      </c>
    </row>
    <row r="372" spans="1:3" x14ac:dyDescent="0.25">
      <c r="A372" s="3" t="s">
        <v>1010</v>
      </c>
      <c r="B372" s="3" t="s">
        <v>1011</v>
      </c>
      <c r="C372" s="3" t="s">
        <v>1012</v>
      </c>
    </row>
    <row r="373" spans="1:3" x14ac:dyDescent="0.25">
      <c r="A373" s="3" t="s">
        <v>1013</v>
      </c>
      <c r="B373" s="3" t="s">
        <v>1011</v>
      </c>
      <c r="C373" s="3" t="s">
        <v>1012</v>
      </c>
    </row>
    <row r="374" spans="1:3" x14ac:dyDescent="0.25">
      <c r="A374" s="3" t="s">
        <v>1014</v>
      </c>
      <c r="B374" s="3" t="s">
        <v>1015</v>
      </c>
      <c r="C374" s="3" t="s">
        <v>1016</v>
      </c>
    </row>
    <row r="375" spans="1:3" x14ac:dyDescent="0.25">
      <c r="A375" s="3" t="s">
        <v>1017</v>
      </c>
      <c r="B375" s="3" t="s">
        <v>1018</v>
      </c>
      <c r="C375" s="3" t="s">
        <v>1019</v>
      </c>
    </row>
    <row r="376" spans="1:3" x14ac:dyDescent="0.25">
      <c r="A376" s="3" t="s">
        <v>1020</v>
      </c>
      <c r="B376" s="3" t="s">
        <v>1021</v>
      </c>
      <c r="C376" s="3" t="s">
        <v>1022</v>
      </c>
    </row>
    <row r="377" spans="1:3" x14ac:dyDescent="0.25">
      <c r="A377" s="3" t="s">
        <v>1023</v>
      </c>
      <c r="B377" s="3" t="s">
        <v>1024</v>
      </c>
      <c r="C377" s="3" t="s">
        <v>1025</v>
      </c>
    </row>
    <row r="378" spans="1:3" x14ac:dyDescent="0.25">
      <c r="A378" s="3" t="s">
        <v>1026</v>
      </c>
      <c r="B378" s="3" t="s">
        <v>1024</v>
      </c>
      <c r="C378" s="3" t="s">
        <v>1025</v>
      </c>
    </row>
    <row r="379" spans="1:3" x14ac:dyDescent="0.25">
      <c r="A379" s="3" t="s">
        <v>1027</v>
      </c>
      <c r="B379" s="3" t="s">
        <v>1028</v>
      </c>
      <c r="C379" s="3" t="s">
        <v>1029</v>
      </c>
    </row>
    <row r="380" spans="1:3" x14ac:dyDescent="0.25">
      <c r="A380" s="3" t="s">
        <v>59</v>
      </c>
      <c r="B380" s="3" t="s">
        <v>1028</v>
      </c>
      <c r="C380" s="3" t="s">
        <v>1029</v>
      </c>
    </row>
    <row r="381" spans="1:3" x14ac:dyDescent="0.25">
      <c r="A381" s="3" t="s">
        <v>1030</v>
      </c>
      <c r="B381" s="3" t="s">
        <v>1031</v>
      </c>
      <c r="C381" s="3" t="s">
        <v>1032</v>
      </c>
    </row>
    <row r="382" spans="1:3" x14ac:dyDescent="0.25">
      <c r="A382" s="3" t="s">
        <v>1033</v>
      </c>
      <c r="B382" s="3" t="s">
        <v>1031</v>
      </c>
      <c r="C382" s="3" t="s">
        <v>1032</v>
      </c>
    </row>
    <row r="383" spans="1:3" x14ac:dyDescent="0.25">
      <c r="A383" s="3" t="s">
        <v>1034</v>
      </c>
      <c r="B383" s="3" t="s">
        <v>1035</v>
      </c>
      <c r="C383" s="3" t="s">
        <v>1036</v>
      </c>
    </row>
    <row r="384" spans="1:3" x14ac:dyDescent="0.25">
      <c r="A384" s="3" t="s">
        <v>1037</v>
      </c>
      <c r="B384" s="3" t="s">
        <v>1035</v>
      </c>
      <c r="C384" s="3" t="s">
        <v>1036</v>
      </c>
    </row>
    <row r="385" spans="1:3" x14ac:dyDescent="0.25">
      <c r="A385" s="3" t="s">
        <v>1038</v>
      </c>
      <c r="B385" s="3" t="s">
        <v>1039</v>
      </c>
      <c r="C385" s="3" t="s">
        <v>1040</v>
      </c>
    </row>
    <row r="386" spans="1:3" x14ac:dyDescent="0.25">
      <c r="A386" s="3" t="s">
        <v>1041</v>
      </c>
      <c r="B386" s="3" t="s">
        <v>1042</v>
      </c>
      <c r="C386" s="3" t="s">
        <v>1043</v>
      </c>
    </row>
    <row r="387" spans="1:3" x14ac:dyDescent="0.25">
      <c r="A387" s="3" t="s">
        <v>1044</v>
      </c>
      <c r="B387" s="3" t="s">
        <v>1045</v>
      </c>
      <c r="C387" s="3" t="s">
        <v>1046</v>
      </c>
    </row>
    <row r="388" spans="1:3" x14ac:dyDescent="0.25">
      <c r="A388" s="3" t="s">
        <v>1047</v>
      </c>
      <c r="B388" s="3" t="s">
        <v>1048</v>
      </c>
      <c r="C388" s="3" t="s">
        <v>1049</v>
      </c>
    </row>
    <row r="389" spans="1:3" x14ac:dyDescent="0.25">
      <c r="A389" s="3" t="s">
        <v>1050</v>
      </c>
      <c r="B389" s="3" t="s">
        <v>1048</v>
      </c>
      <c r="C389" s="3" t="s">
        <v>1049</v>
      </c>
    </row>
    <row r="390" spans="1:3" x14ac:dyDescent="0.25">
      <c r="A390" s="3" t="s">
        <v>1051</v>
      </c>
      <c r="B390" s="3" t="s">
        <v>1052</v>
      </c>
      <c r="C390" s="3" t="s">
        <v>1053</v>
      </c>
    </row>
    <row r="391" spans="1:3" x14ac:dyDescent="0.25">
      <c r="A391" s="3" t="s">
        <v>1054</v>
      </c>
      <c r="B391" s="3" t="s">
        <v>1055</v>
      </c>
      <c r="C391" s="3" t="s">
        <v>1056</v>
      </c>
    </row>
    <row r="392" spans="1:3" x14ac:dyDescent="0.25">
      <c r="A392" s="3" t="s">
        <v>1057</v>
      </c>
      <c r="B392" s="3" t="s">
        <v>1058</v>
      </c>
      <c r="C392" s="3" t="s">
        <v>1059</v>
      </c>
    </row>
    <row r="393" spans="1:3" x14ac:dyDescent="0.25">
      <c r="A393" s="3" t="s">
        <v>1060</v>
      </c>
      <c r="B393" s="3" t="s">
        <v>1061</v>
      </c>
      <c r="C393" s="3" t="s">
        <v>1062</v>
      </c>
    </row>
    <row r="394" spans="1:3" x14ac:dyDescent="0.25">
      <c r="A394" s="3" t="s">
        <v>1063</v>
      </c>
      <c r="B394" s="3" t="s">
        <v>1064</v>
      </c>
      <c r="C394" s="3" t="s">
        <v>1065</v>
      </c>
    </row>
    <row r="395" spans="1:3" x14ac:dyDescent="0.25">
      <c r="A395" s="3" t="s">
        <v>1066</v>
      </c>
      <c r="B395" s="3" t="s">
        <v>1067</v>
      </c>
      <c r="C395" s="3" t="s">
        <v>1068</v>
      </c>
    </row>
    <row r="396" spans="1:3" x14ac:dyDescent="0.25">
      <c r="A396" s="3" t="s">
        <v>1069</v>
      </c>
      <c r="B396" s="3" t="s">
        <v>1070</v>
      </c>
      <c r="C396" s="3" t="s">
        <v>1071</v>
      </c>
    </row>
    <row r="397" spans="1:3" x14ac:dyDescent="0.25">
      <c r="A397" s="3" t="s">
        <v>1072</v>
      </c>
      <c r="B397" s="3" t="s">
        <v>1070</v>
      </c>
      <c r="C397" s="3" t="s">
        <v>1071</v>
      </c>
    </row>
    <row r="398" spans="1:3" x14ac:dyDescent="0.25">
      <c r="A398" s="3" t="s">
        <v>1073</v>
      </c>
      <c r="B398" s="3" t="s">
        <v>1074</v>
      </c>
      <c r="C398" s="3" t="s">
        <v>1075</v>
      </c>
    </row>
    <row r="399" spans="1:3" x14ac:dyDescent="0.25">
      <c r="A399" s="3" t="s">
        <v>1076</v>
      </c>
      <c r="B399" s="3" t="s">
        <v>1074</v>
      </c>
      <c r="C399" s="3" t="s">
        <v>1075</v>
      </c>
    </row>
    <row r="400" spans="1:3" x14ac:dyDescent="0.25">
      <c r="A400" s="3" t="s">
        <v>1077</v>
      </c>
      <c r="B400" s="3" t="s">
        <v>1074</v>
      </c>
      <c r="C400" s="3" t="s">
        <v>1075</v>
      </c>
    </row>
    <row r="401" spans="1:3" x14ac:dyDescent="0.25">
      <c r="A401" s="3" t="s">
        <v>1078</v>
      </c>
      <c r="B401" s="3" t="s">
        <v>1079</v>
      </c>
      <c r="C401" s="3" t="s">
        <v>1080</v>
      </c>
    </row>
    <row r="402" spans="1:3" x14ac:dyDescent="0.25">
      <c r="A402" s="3" t="s">
        <v>1081</v>
      </c>
      <c r="B402" s="3" t="s">
        <v>1082</v>
      </c>
      <c r="C402" s="3" t="s">
        <v>1083</v>
      </c>
    </row>
    <row r="403" spans="1:3" x14ac:dyDescent="0.25">
      <c r="A403" s="3" t="s">
        <v>1084</v>
      </c>
      <c r="B403" s="3" t="s">
        <v>1085</v>
      </c>
      <c r="C403" s="3" t="s">
        <v>1086</v>
      </c>
    </row>
    <row r="404" spans="1:3" x14ac:dyDescent="0.25">
      <c r="A404" s="3" t="s">
        <v>1087</v>
      </c>
      <c r="B404" s="3" t="s">
        <v>1088</v>
      </c>
      <c r="C404" s="3" t="s">
        <v>1089</v>
      </c>
    </row>
    <row r="405" spans="1:3" x14ac:dyDescent="0.25">
      <c r="A405" s="3" t="s">
        <v>1090</v>
      </c>
      <c r="B405" s="3" t="s">
        <v>1088</v>
      </c>
      <c r="C405" s="3" t="s">
        <v>1089</v>
      </c>
    </row>
    <row r="406" spans="1:3" x14ac:dyDescent="0.25">
      <c r="A406" s="3" t="s">
        <v>1091</v>
      </c>
      <c r="B406" s="3" t="s">
        <v>1088</v>
      </c>
      <c r="C406" s="3" t="s">
        <v>1089</v>
      </c>
    </row>
    <row r="407" spans="1:3" x14ac:dyDescent="0.25">
      <c r="A407" s="3" t="s">
        <v>1092</v>
      </c>
      <c r="B407" s="3" t="s">
        <v>1093</v>
      </c>
      <c r="C407" s="3" t="s">
        <v>1094</v>
      </c>
    </row>
    <row r="408" spans="1:3" x14ac:dyDescent="0.25">
      <c r="A408" s="3" t="s">
        <v>1095</v>
      </c>
      <c r="B408" s="3" t="s">
        <v>1096</v>
      </c>
      <c r="C408" s="3" t="s">
        <v>1097</v>
      </c>
    </row>
    <row r="409" spans="1:3" x14ac:dyDescent="0.25">
      <c r="A409" s="3" t="s">
        <v>1098</v>
      </c>
      <c r="B409" s="3" t="s">
        <v>1099</v>
      </c>
      <c r="C409" s="3" t="s">
        <v>1100</v>
      </c>
    </row>
    <row r="410" spans="1:3" x14ac:dyDescent="0.25">
      <c r="A410" s="3" t="s">
        <v>1101</v>
      </c>
      <c r="B410" s="3" t="s">
        <v>1102</v>
      </c>
      <c r="C410" s="3" t="s">
        <v>1103</v>
      </c>
    </row>
    <row r="411" spans="1:3" x14ac:dyDescent="0.25">
      <c r="A411" s="3" t="s">
        <v>1104</v>
      </c>
      <c r="B411" s="3" t="s">
        <v>1105</v>
      </c>
      <c r="C411" s="3" t="s">
        <v>1106</v>
      </c>
    </row>
    <row r="412" spans="1:3" x14ac:dyDescent="0.25">
      <c r="A412" s="3" t="s">
        <v>1107</v>
      </c>
      <c r="B412" s="3" t="s">
        <v>1108</v>
      </c>
      <c r="C412" s="3" t="s">
        <v>1109</v>
      </c>
    </row>
    <row r="413" spans="1:3" x14ac:dyDescent="0.25">
      <c r="A413" s="3" t="s">
        <v>1110</v>
      </c>
      <c r="B413" s="3" t="s">
        <v>1111</v>
      </c>
      <c r="C413" s="3" t="s">
        <v>1112</v>
      </c>
    </row>
    <row r="414" spans="1:3" x14ac:dyDescent="0.25">
      <c r="A414" s="3" t="s">
        <v>1113</v>
      </c>
      <c r="B414" s="3" t="s">
        <v>1114</v>
      </c>
      <c r="C414" s="3" t="s">
        <v>1115</v>
      </c>
    </row>
    <row r="415" spans="1:3" x14ac:dyDescent="0.25">
      <c r="A415" s="3" t="s">
        <v>1116</v>
      </c>
      <c r="B415" s="3" t="s">
        <v>1117</v>
      </c>
      <c r="C415" s="3" t="s">
        <v>1118</v>
      </c>
    </row>
    <row r="416" spans="1:3" x14ac:dyDescent="0.25">
      <c r="A416" s="3" t="s">
        <v>1119</v>
      </c>
      <c r="B416" s="3" t="s">
        <v>1120</v>
      </c>
      <c r="C416" s="3" t="s">
        <v>1121</v>
      </c>
    </row>
    <row r="417" spans="1:3" x14ac:dyDescent="0.25">
      <c r="A417" s="3" t="s">
        <v>1122</v>
      </c>
      <c r="B417" s="3" t="s">
        <v>1123</v>
      </c>
      <c r="C417" s="3" t="s">
        <v>1124</v>
      </c>
    </row>
    <row r="418" spans="1:3" x14ac:dyDescent="0.25">
      <c r="A418" s="3" t="s">
        <v>1125</v>
      </c>
      <c r="B418" s="3" t="s">
        <v>1126</v>
      </c>
      <c r="C418" s="3" t="s">
        <v>1127</v>
      </c>
    </row>
    <row r="419" spans="1:3" x14ac:dyDescent="0.25">
      <c r="A419" s="3" t="s">
        <v>1128</v>
      </c>
      <c r="B419" s="3" t="s">
        <v>1129</v>
      </c>
      <c r="C419" s="3" t="s">
        <v>1130</v>
      </c>
    </row>
    <row r="420" spans="1:3" x14ac:dyDescent="0.25">
      <c r="A420" s="3" t="s">
        <v>1131</v>
      </c>
      <c r="B420" s="3" t="s">
        <v>1132</v>
      </c>
      <c r="C420" s="3" t="s">
        <v>1133</v>
      </c>
    </row>
    <row r="421" spans="1:3" x14ac:dyDescent="0.25">
      <c r="A421" s="3" t="s">
        <v>1134</v>
      </c>
      <c r="B421" s="3" t="s">
        <v>1135</v>
      </c>
      <c r="C421" s="3" t="s">
        <v>1136</v>
      </c>
    </row>
    <row r="422" spans="1:3" x14ac:dyDescent="0.25">
      <c r="A422" s="3" t="s">
        <v>1137</v>
      </c>
      <c r="B422" s="3" t="s">
        <v>1138</v>
      </c>
      <c r="C422" s="3" t="s">
        <v>1139</v>
      </c>
    </row>
    <row r="423" spans="1:3" x14ac:dyDescent="0.25">
      <c r="A423" s="3" t="s">
        <v>1140</v>
      </c>
      <c r="B423" s="3" t="s">
        <v>1138</v>
      </c>
      <c r="C423" s="3" t="s">
        <v>1139</v>
      </c>
    </row>
    <row r="424" spans="1:3" x14ac:dyDescent="0.25">
      <c r="A424" s="3" t="s">
        <v>1141</v>
      </c>
      <c r="B424" s="3" t="s">
        <v>1142</v>
      </c>
      <c r="C424" s="3" t="s">
        <v>1143</v>
      </c>
    </row>
    <row r="425" spans="1:3" x14ac:dyDescent="0.25">
      <c r="A425" s="3" t="s">
        <v>1144</v>
      </c>
      <c r="B425" s="3" t="s">
        <v>1142</v>
      </c>
      <c r="C425" s="3" t="s">
        <v>1143</v>
      </c>
    </row>
    <row r="426" spans="1:3" x14ac:dyDescent="0.25">
      <c r="A426" s="3" t="s">
        <v>1145</v>
      </c>
      <c r="B426" s="3" t="s">
        <v>1146</v>
      </c>
      <c r="C426" s="3" t="s">
        <v>1147</v>
      </c>
    </row>
    <row r="427" spans="1:3" x14ac:dyDescent="0.25">
      <c r="A427" s="3" t="s">
        <v>1148</v>
      </c>
      <c r="B427" s="3" t="s">
        <v>1149</v>
      </c>
      <c r="C427" s="3" t="s">
        <v>1150</v>
      </c>
    </row>
    <row r="428" spans="1:3" x14ac:dyDescent="0.25">
      <c r="A428" s="3" t="s">
        <v>1151</v>
      </c>
      <c r="B428" s="3" t="s">
        <v>1152</v>
      </c>
      <c r="C428" s="3" t="s">
        <v>1153</v>
      </c>
    </row>
    <row r="429" spans="1:3" x14ac:dyDescent="0.25">
      <c r="A429" s="3" t="s">
        <v>1154</v>
      </c>
      <c r="B429" s="3" t="s">
        <v>1155</v>
      </c>
      <c r="C429" s="3" t="s">
        <v>1156</v>
      </c>
    </row>
    <row r="430" spans="1:3" x14ac:dyDescent="0.25">
      <c r="A430" s="3" t="s">
        <v>1157</v>
      </c>
      <c r="B430" s="3" t="s">
        <v>1155</v>
      </c>
      <c r="C430" s="3" t="s">
        <v>1156</v>
      </c>
    </row>
    <row r="431" spans="1:3" x14ac:dyDescent="0.25">
      <c r="A431" s="3" t="s">
        <v>1158</v>
      </c>
      <c r="B431" s="3" t="s">
        <v>1159</v>
      </c>
      <c r="C431" s="3" t="s">
        <v>1160</v>
      </c>
    </row>
    <row r="432" spans="1:3" x14ac:dyDescent="0.25">
      <c r="A432" s="3" t="s">
        <v>1161</v>
      </c>
      <c r="B432" s="3" t="s">
        <v>1162</v>
      </c>
      <c r="C432" s="3" t="s">
        <v>1163</v>
      </c>
    </row>
    <row r="433" spans="1:3" x14ac:dyDescent="0.25">
      <c r="A433" s="3" t="s">
        <v>1164</v>
      </c>
      <c r="B433" s="3" t="s">
        <v>1165</v>
      </c>
      <c r="C433" s="3" t="s">
        <v>1166</v>
      </c>
    </row>
    <row r="434" spans="1:3" x14ac:dyDescent="0.25">
      <c r="A434" s="3" t="s">
        <v>1167</v>
      </c>
      <c r="B434" s="3" t="s">
        <v>1168</v>
      </c>
      <c r="C434" s="3" t="s">
        <v>1169</v>
      </c>
    </row>
    <row r="435" spans="1:3" x14ac:dyDescent="0.25">
      <c r="A435" s="3" t="s">
        <v>1170</v>
      </c>
      <c r="B435" s="3" t="s">
        <v>1171</v>
      </c>
      <c r="C435" s="3" t="s">
        <v>1172</v>
      </c>
    </row>
    <row r="436" spans="1:3" x14ac:dyDescent="0.25">
      <c r="A436" s="3" t="s">
        <v>1173</v>
      </c>
      <c r="B436" s="3" t="s">
        <v>1174</v>
      </c>
      <c r="C436" s="3" t="s">
        <v>1175</v>
      </c>
    </row>
    <row r="437" spans="1:3" x14ac:dyDescent="0.25">
      <c r="A437" s="3" t="s">
        <v>1176</v>
      </c>
      <c r="B437" s="3" t="s">
        <v>1174</v>
      </c>
      <c r="C437" s="3" t="s">
        <v>1175</v>
      </c>
    </row>
    <row r="438" spans="1:3" x14ac:dyDescent="0.25">
      <c r="A438" s="3" t="s">
        <v>1177</v>
      </c>
      <c r="B438" s="3" t="s">
        <v>1178</v>
      </c>
      <c r="C438" s="3" t="s">
        <v>1179</v>
      </c>
    </row>
    <row r="439" spans="1:3" x14ac:dyDescent="0.25">
      <c r="A439" s="3" t="s">
        <v>1180</v>
      </c>
      <c r="B439" s="3" t="s">
        <v>1178</v>
      </c>
      <c r="C439" s="3" t="s">
        <v>1179</v>
      </c>
    </row>
    <row r="440" spans="1:3" x14ac:dyDescent="0.25">
      <c r="A440" s="3" t="s">
        <v>1181</v>
      </c>
      <c r="B440" s="3" t="s">
        <v>1182</v>
      </c>
      <c r="C440" s="3" t="s">
        <v>1183</v>
      </c>
    </row>
    <row r="441" spans="1:3" x14ac:dyDescent="0.25">
      <c r="A441" s="3" t="s">
        <v>1184</v>
      </c>
      <c r="B441" s="3" t="s">
        <v>1185</v>
      </c>
      <c r="C441" s="3" t="s">
        <v>1186</v>
      </c>
    </row>
    <row r="442" spans="1:3" x14ac:dyDescent="0.25">
      <c r="A442" s="3" t="s">
        <v>1187</v>
      </c>
      <c r="B442" s="3" t="s">
        <v>1185</v>
      </c>
      <c r="C442" s="3" t="s">
        <v>1186</v>
      </c>
    </row>
    <row r="443" spans="1:3" x14ac:dyDescent="0.25">
      <c r="A443" s="3" t="s">
        <v>1188</v>
      </c>
      <c r="B443" s="3" t="s">
        <v>1189</v>
      </c>
      <c r="C443" s="3" t="s">
        <v>1190</v>
      </c>
    </row>
    <row r="444" spans="1:3" x14ac:dyDescent="0.25">
      <c r="A444" s="3" t="s">
        <v>60</v>
      </c>
      <c r="B444" s="3" t="s">
        <v>1191</v>
      </c>
      <c r="C444" s="3" t="s">
        <v>1192</v>
      </c>
    </row>
    <row r="445" spans="1:3" x14ac:dyDescent="0.25">
      <c r="A445" s="3" t="s">
        <v>1193</v>
      </c>
      <c r="B445" s="3" t="s">
        <v>1194</v>
      </c>
      <c r="C445" s="3" t="s">
        <v>1195</v>
      </c>
    </row>
    <row r="446" spans="1:3" x14ac:dyDescent="0.25">
      <c r="A446" s="3" t="s">
        <v>1196</v>
      </c>
      <c r="B446" s="3" t="s">
        <v>1197</v>
      </c>
      <c r="C446" s="3" t="s">
        <v>1198</v>
      </c>
    </row>
    <row r="447" spans="1:3" x14ac:dyDescent="0.25">
      <c r="A447" s="3" t="s">
        <v>1199</v>
      </c>
      <c r="B447" s="3" t="s">
        <v>1197</v>
      </c>
      <c r="C447" s="3" t="s">
        <v>1198</v>
      </c>
    </row>
    <row r="448" spans="1:3" x14ac:dyDescent="0.25">
      <c r="A448" s="3" t="s">
        <v>1200</v>
      </c>
      <c r="B448" s="3" t="s">
        <v>1201</v>
      </c>
      <c r="C448" s="3" t="s">
        <v>1202</v>
      </c>
    </row>
    <row r="449" spans="1:3" x14ac:dyDescent="0.25">
      <c r="A449" s="3" t="s">
        <v>1203</v>
      </c>
      <c r="B449" s="3" t="s">
        <v>1201</v>
      </c>
      <c r="C449" s="3" t="s">
        <v>1202</v>
      </c>
    </row>
    <row r="450" spans="1:3" x14ac:dyDescent="0.25">
      <c r="A450" s="3" t="s">
        <v>1204</v>
      </c>
      <c r="B450" s="3" t="s">
        <v>1205</v>
      </c>
      <c r="C450" s="3" t="s">
        <v>1206</v>
      </c>
    </row>
    <row r="451" spans="1:3" x14ac:dyDescent="0.25">
      <c r="A451" s="3" t="s">
        <v>1207</v>
      </c>
      <c r="B451" s="3" t="s">
        <v>1208</v>
      </c>
      <c r="C451" s="3" t="s">
        <v>1209</v>
      </c>
    </row>
    <row r="452" spans="1:3" x14ac:dyDescent="0.25">
      <c r="A452" s="3" t="s">
        <v>1210</v>
      </c>
      <c r="B452" s="3" t="s">
        <v>1211</v>
      </c>
      <c r="C452" s="3" t="s">
        <v>1212</v>
      </c>
    </row>
    <row r="453" spans="1:3" x14ac:dyDescent="0.25">
      <c r="A453" s="3" t="s">
        <v>1213</v>
      </c>
      <c r="B453" s="3" t="s">
        <v>1214</v>
      </c>
      <c r="C453" s="3" t="s">
        <v>1215</v>
      </c>
    </row>
    <row r="454" spans="1:3" x14ac:dyDescent="0.25">
      <c r="A454" s="3" t="s">
        <v>1216</v>
      </c>
      <c r="B454" s="3" t="s">
        <v>1217</v>
      </c>
      <c r="C454" s="3" t="s">
        <v>1218</v>
      </c>
    </row>
    <row r="455" spans="1:3" x14ac:dyDescent="0.25">
      <c r="A455" s="3" t="s">
        <v>1219</v>
      </c>
      <c r="B455" s="3" t="s">
        <v>1220</v>
      </c>
      <c r="C455" s="3" t="s">
        <v>1221</v>
      </c>
    </row>
    <row r="456" spans="1:3" x14ac:dyDescent="0.25">
      <c r="A456" s="3" t="s">
        <v>1222</v>
      </c>
      <c r="B456" s="3" t="s">
        <v>1223</v>
      </c>
      <c r="C456" s="3" t="s">
        <v>1224</v>
      </c>
    </row>
    <row r="457" spans="1:3" x14ac:dyDescent="0.25">
      <c r="A457" s="3" t="s">
        <v>1225</v>
      </c>
      <c r="B457" s="3" t="s">
        <v>1223</v>
      </c>
      <c r="C457" s="3" t="s">
        <v>1224</v>
      </c>
    </row>
    <row r="458" spans="1:3" x14ac:dyDescent="0.25">
      <c r="A458" s="3" t="s">
        <v>1226</v>
      </c>
      <c r="B458" s="3" t="s">
        <v>1223</v>
      </c>
      <c r="C458" s="3" t="s">
        <v>1224</v>
      </c>
    </row>
    <row r="459" spans="1:3" x14ac:dyDescent="0.25">
      <c r="A459" s="3" t="s">
        <v>1227</v>
      </c>
      <c r="B459" s="3" t="s">
        <v>1228</v>
      </c>
      <c r="C459" s="3" t="s">
        <v>1229</v>
      </c>
    </row>
    <row r="460" spans="1:3" x14ac:dyDescent="0.25">
      <c r="A460" s="3" t="s">
        <v>1230</v>
      </c>
      <c r="B460" s="3" t="s">
        <v>1231</v>
      </c>
      <c r="C460" s="3" t="s">
        <v>1232</v>
      </c>
    </row>
    <row r="461" spans="1:3" x14ac:dyDescent="0.25">
      <c r="A461" s="3" t="s">
        <v>1233</v>
      </c>
      <c r="B461" s="3" t="s">
        <v>1231</v>
      </c>
      <c r="C461" s="3" t="s">
        <v>1232</v>
      </c>
    </row>
    <row r="462" spans="1:3" x14ac:dyDescent="0.25">
      <c r="A462" s="3" t="s">
        <v>1234</v>
      </c>
      <c r="B462" s="3" t="s">
        <v>1235</v>
      </c>
      <c r="C462" s="3" t="s">
        <v>1236</v>
      </c>
    </row>
    <row r="463" spans="1:3" x14ac:dyDescent="0.25">
      <c r="A463" s="3" t="s">
        <v>1237</v>
      </c>
      <c r="B463" s="3" t="s">
        <v>1238</v>
      </c>
      <c r="C463" s="3" t="s">
        <v>1239</v>
      </c>
    </row>
    <row r="464" spans="1:3" x14ac:dyDescent="0.25">
      <c r="A464" s="3" t="s">
        <v>1240</v>
      </c>
      <c r="B464" s="3" t="s">
        <v>1238</v>
      </c>
      <c r="C464" s="3" t="s">
        <v>1239</v>
      </c>
    </row>
    <row r="465" spans="1:3" x14ac:dyDescent="0.25">
      <c r="A465" s="3" t="s">
        <v>1241</v>
      </c>
      <c r="B465" s="3" t="s">
        <v>1242</v>
      </c>
      <c r="C465" s="3" t="s">
        <v>1243</v>
      </c>
    </row>
    <row r="466" spans="1:3" x14ac:dyDescent="0.25">
      <c r="A466" s="3" t="s">
        <v>1244</v>
      </c>
      <c r="B466" s="3" t="s">
        <v>1245</v>
      </c>
      <c r="C466" s="3" t="s">
        <v>1246</v>
      </c>
    </row>
    <row r="467" spans="1:3" x14ac:dyDescent="0.25">
      <c r="A467" s="3" t="s">
        <v>1247</v>
      </c>
      <c r="B467" s="3" t="s">
        <v>1245</v>
      </c>
      <c r="C467" s="3" t="s">
        <v>1246</v>
      </c>
    </row>
    <row r="468" spans="1:3" x14ac:dyDescent="0.25">
      <c r="A468" s="3" t="s">
        <v>1248</v>
      </c>
      <c r="B468" s="3" t="s">
        <v>1249</v>
      </c>
      <c r="C468" s="3" t="s">
        <v>1250</v>
      </c>
    </row>
    <row r="469" spans="1:3" x14ac:dyDescent="0.25">
      <c r="A469" s="3" t="s">
        <v>1251</v>
      </c>
      <c r="B469" s="3" t="s">
        <v>1252</v>
      </c>
      <c r="C469" s="3" t="s">
        <v>1253</v>
      </c>
    </row>
    <row r="470" spans="1:3" x14ac:dyDescent="0.25">
      <c r="A470" s="3" t="s">
        <v>1254</v>
      </c>
      <c r="B470" s="3" t="s">
        <v>1252</v>
      </c>
      <c r="C470" s="3" t="s">
        <v>1253</v>
      </c>
    </row>
    <row r="471" spans="1:3" x14ac:dyDescent="0.25">
      <c r="A471" s="3" t="s">
        <v>1255</v>
      </c>
      <c r="B471" s="3" t="s">
        <v>1256</v>
      </c>
      <c r="C471" s="3" t="s">
        <v>1257</v>
      </c>
    </row>
    <row r="472" spans="1:3" x14ac:dyDescent="0.25">
      <c r="A472" s="3" t="s">
        <v>1258</v>
      </c>
      <c r="B472" s="3" t="s">
        <v>1259</v>
      </c>
      <c r="C472" s="3" t="s">
        <v>1260</v>
      </c>
    </row>
    <row r="473" spans="1:3" x14ac:dyDescent="0.25">
      <c r="A473" s="3" t="s">
        <v>1261</v>
      </c>
      <c r="B473" s="3" t="s">
        <v>1262</v>
      </c>
      <c r="C473" s="3" t="s">
        <v>1263</v>
      </c>
    </row>
    <row r="474" spans="1:3" x14ac:dyDescent="0.25">
      <c r="A474" s="3" t="s">
        <v>1264</v>
      </c>
      <c r="B474" s="3" t="s">
        <v>1262</v>
      </c>
      <c r="C474" s="3" t="s">
        <v>1263</v>
      </c>
    </row>
    <row r="475" spans="1:3" x14ac:dyDescent="0.25">
      <c r="A475" s="3" t="s">
        <v>1265</v>
      </c>
      <c r="B475" s="3" t="s">
        <v>1266</v>
      </c>
      <c r="C475" s="3" t="s">
        <v>1267</v>
      </c>
    </row>
    <row r="476" spans="1:3" x14ac:dyDescent="0.25">
      <c r="A476" s="3" t="s">
        <v>1268</v>
      </c>
      <c r="B476" s="3" t="s">
        <v>1266</v>
      </c>
      <c r="C476" s="3" t="s">
        <v>1267</v>
      </c>
    </row>
    <row r="477" spans="1:3" x14ac:dyDescent="0.25">
      <c r="A477" s="3" t="s">
        <v>1269</v>
      </c>
      <c r="B477" s="3" t="s">
        <v>1266</v>
      </c>
      <c r="C477" s="3" t="s">
        <v>1267</v>
      </c>
    </row>
    <row r="478" spans="1:3" x14ac:dyDescent="0.25">
      <c r="A478" s="3" t="s">
        <v>1270</v>
      </c>
      <c r="B478" s="3" t="s">
        <v>1271</v>
      </c>
      <c r="C478" s="3" t="s">
        <v>1272</v>
      </c>
    </row>
    <row r="479" spans="1:3" x14ac:dyDescent="0.25">
      <c r="A479" s="3" t="s">
        <v>1273</v>
      </c>
      <c r="B479" s="3" t="s">
        <v>1274</v>
      </c>
      <c r="C479" s="3" t="s">
        <v>1275</v>
      </c>
    </row>
    <row r="480" spans="1:3" x14ac:dyDescent="0.25">
      <c r="A480" s="3" t="s">
        <v>1276</v>
      </c>
      <c r="B480" s="3" t="s">
        <v>1277</v>
      </c>
      <c r="C480" s="3" t="s">
        <v>1278</v>
      </c>
    </row>
    <row r="481" spans="1:3" x14ac:dyDescent="0.25">
      <c r="A481" s="3" t="s">
        <v>1279</v>
      </c>
      <c r="B481" s="3" t="s">
        <v>1280</v>
      </c>
      <c r="C481" s="3" t="s">
        <v>1281</v>
      </c>
    </row>
    <row r="482" spans="1:3" x14ac:dyDescent="0.25">
      <c r="A482" s="3" t="s">
        <v>1282</v>
      </c>
      <c r="B482" s="3" t="s">
        <v>1283</v>
      </c>
      <c r="C482" s="3" t="s">
        <v>1284</v>
      </c>
    </row>
    <row r="483" spans="1:3" x14ac:dyDescent="0.25">
      <c r="A483" s="3" t="s">
        <v>1285</v>
      </c>
      <c r="B483" s="3" t="s">
        <v>1286</v>
      </c>
      <c r="C483" s="3" t="s">
        <v>1287</v>
      </c>
    </row>
    <row r="484" spans="1:3" x14ac:dyDescent="0.25">
      <c r="A484" s="3" t="s">
        <v>1288</v>
      </c>
      <c r="B484" s="3" t="s">
        <v>1289</v>
      </c>
      <c r="C484" s="3" t="s">
        <v>1290</v>
      </c>
    </row>
    <row r="485" spans="1:3" x14ac:dyDescent="0.25">
      <c r="A485" s="3" t="s">
        <v>1291</v>
      </c>
      <c r="B485" s="3" t="s">
        <v>1292</v>
      </c>
      <c r="C485" s="3" t="s">
        <v>1293</v>
      </c>
    </row>
    <row r="486" spans="1:3" x14ac:dyDescent="0.25">
      <c r="A486" s="3" t="s">
        <v>1294</v>
      </c>
      <c r="B486" s="3" t="s">
        <v>1292</v>
      </c>
      <c r="C486" s="3" t="s">
        <v>1293</v>
      </c>
    </row>
    <row r="487" spans="1:3" x14ac:dyDescent="0.25">
      <c r="A487" s="3" t="s">
        <v>1295</v>
      </c>
      <c r="B487" s="3" t="s">
        <v>1296</v>
      </c>
      <c r="C487" s="3" t="s">
        <v>1297</v>
      </c>
    </row>
    <row r="488" spans="1:3" x14ac:dyDescent="0.25">
      <c r="A488" s="3" t="s">
        <v>1298</v>
      </c>
      <c r="B488" s="3" t="s">
        <v>1299</v>
      </c>
      <c r="C488" s="3" t="s">
        <v>1300</v>
      </c>
    </row>
    <row r="489" spans="1:3" x14ac:dyDescent="0.25">
      <c r="A489" s="3" t="s">
        <v>1301</v>
      </c>
      <c r="B489" s="3" t="s">
        <v>1302</v>
      </c>
      <c r="C489" s="3" t="s">
        <v>1303</v>
      </c>
    </row>
    <row r="490" spans="1:3" x14ac:dyDescent="0.25">
      <c r="A490" s="3" t="s">
        <v>1304</v>
      </c>
      <c r="B490" s="3" t="s">
        <v>1302</v>
      </c>
      <c r="C490" s="3" t="s">
        <v>1303</v>
      </c>
    </row>
    <row r="491" spans="1:3" x14ac:dyDescent="0.25">
      <c r="A491" s="3" t="s">
        <v>1305</v>
      </c>
      <c r="B491" s="3" t="s">
        <v>1306</v>
      </c>
      <c r="C491" s="3" t="s">
        <v>1307</v>
      </c>
    </row>
    <row r="492" spans="1:3" x14ac:dyDescent="0.25">
      <c r="A492" s="3" t="s">
        <v>1308</v>
      </c>
      <c r="B492" s="3" t="s">
        <v>1309</v>
      </c>
      <c r="C492" s="3" t="s">
        <v>1310</v>
      </c>
    </row>
    <row r="493" spans="1:3" x14ac:dyDescent="0.25">
      <c r="A493" s="3" t="s">
        <v>1311</v>
      </c>
      <c r="B493" s="3" t="s">
        <v>1312</v>
      </c>
      <c r="C493" s="3" t="s">
        <v>1313</v>
      </c>
    </row>
    <row r="494" spans="1:3" x14ac:dyDescent="0.25">
      <c r="A494" s="3" t="s">
        <v>1314</v>
      </c>
      <c r="B494" s="3" t="s">
        <v>1315</v>
      </c>
      <c r="C494" s="3" t="s">
        <v>1316</v>
      </c>
    </row>
    <row r="495" spans="1:3" x14ac:dyDescent="0.25">
      <c r="A495" s="3" t="s">
        <v>1317</v>
      </c>
      <c r="B495" s="3" t="s">
        <v>1318</v>
      </c>
      <c r="C495" s="3" t="s">
        <v>1319</v>
      </c>
    </row>
    <row r="496" spans="1:3" x14ac:dyDescent="0.25">
      <c r="A496" s="3" t="s">
        <v>1320</v>
      </c>
      <c r="B496" s="3" t="s">
        <v>1321</v>
      </c>
      <c r="C496" s="3" t="s">
        <v>1322</v>
      </c>
    </row>
    <row r="497" spans="1:3" x14ac:dyDescent="0.25">
      <c r="A497" s="3" t="s">
        <v>1323</v>
      </c>
      <c r="B497" s="3" t="s">
        <v>1324</v>
      </c>
      <c r="C497" s="3" t="s">
        <v>1325</v>
      </c>
    </row>
    <row r="498" spans="1:3" x14ac:dyDescent="0.25">
      <c r="A498" s="3" t="s">
        <v>1326</v>
      </c>
      <c r="B498" s="3" t="s">
        <v>1327</v>
      </c>
      <c r="C498" s="3" t="s">
        <v>1328</v>
      </c>
    </row>
    <row r="499" spans="1:3" x14ac:dyDescent="0.25">
      <c r="A499" s="3" t="s">
        <v>1329</v>
      </c>
      <c r="B499" s="3" t="s">
        <v>1330</v>
      </c>
      <c r="C499" s="3" t="s">
        <v>1331</v>
      </c>
    </row>
    <row r="500" spans="1:3" x14ac:dyDescent="0.25">
      <c r="A500" s="3" t="s">
        <v>1332</v>
      </c>
      <c r="B500" s="3" t="s">
        <v>1333</v>
      </c>
      <c r="C500" s="3" t="s">
        <v>1334</v>
      </c>
    </row>
    <row r="501" spans="1:3" x14ac:dyDescent="0.25">
      <c r="A501" s="3" t="s">
        <v>1335</v>
      </c>
      <c r="B501" s="3" t="s">
        <v>1336</v>
      </c>
      <c r="C501" s="3" t="s">
        <v>1337</v>
      </c>
    </row>
    <row r="502" spans="1:3" x14ac:dyDescent="0.25">
      <c r="A502" s="3" t="s">
        <v>1338</v>
      </c>
      <c r="B502" s="3" t="s">
        <v>1336</v>
      </c>
      <c r="C502" s="3" t="s">
        <v>1337</v>
      </c>
    </row>
    <row r="503" spans="1:3" x14ac:dyDescent="0.25">
      <c r="A503" s="3" t="s">
        <v>1339</v>
      </c>
      <c r="B503" s="3" t="s">
        <v>1340</v>
      </c>
      <c r="C503" s="3" t="s">
        <v>1341</v>
      </c>
    </row>
    <row r="504" spans="1:3" x14ac:dyDescent="0.25">
      <c r="A504" s="3" t="s">
        <v>1342</v>
      </c>
      <c r="B504" s="3" t="s">
        <v>1340</v>
      </c>
      <c r="C504" s="3" t="s">
        <v>1341</v>
      </c>
    </row>
    <row r="505" spans="1:3" x14ac:dyDescent="0.25">
      <c r="A505" s="3" t="s">
        <v>1343</v>
      </c>
      <c r="B505" s="3" t="s">
        <v>1344</v>
      </c>
      <c r="C505" s="3" t="s">
        <v>1345</v>
      </c>
    </row>
    <row r="506" spans="1:3" x14ac:dyDescent="0.25">
      <c r="A506" s="3" t="s">
        <v>1346</v>
      </c>
      <c r="B506" s="3" t="s">
        <v>1347</v>
      </c>
      <c r="C506" s="3" t="s">
        <v>1348</v>
      </c>
    </row>
    <row r="507" spans="1:3" x14ac:dyDescent="0.25">
      <c r="A507" s="3" t="s">
        <v>1349</v>
      </c>
      <c r="B507" s="3" t="s">
        <v>1350</v>
      </c>
      <c r="C507" s="3" t="s">
        <v>1351</v>
      </c>
    </row>
    <row r="508" spans="1:3" x14ac:dyDescent="0.25">
      <c r="A508" s="3" t="s">
        <v>1352</v>
      </c>
      <c r="B508" s="3" t="s">
        <v>1350</v>
      </c>
      <c r="C508" s="3" t="s">
        <v>1351</v>
      </c>
    </row>
    <row r="509" spans="1:3" x14ac:dyDescent="0.25">
      <c r="A509" s="3" t="s">
        <v>1353</v>
      </c>
      <c r="B509" s="3" t="s">
        <v>1354</v>
      </c>
      <c r="C509" s="3" t="s">
        <v>1355</v>
      </c>
    </row>
    <row r="510" spans="1:3" x14ac:dyDescent="0.25">
      <c r="A510" s="3" t="s">
        <v>65</v>
      </c>
      <c r="B510" s="3" t="s">
        <v>1354</v>
      </c>
      <c r="C510" s="3" t="s">
        <v>1355</v>
      </c>
    </row>
    <row r="511" spans="1:3" x14ac:dyDescent="0.25">
      <c r="A511" s="3" t="s">
        <v>1356</v>
      </c>
      <c r="B511" s="3" t="s">
        <v>1357</v>
      </c>
      <c r="C511" s="3" t="s">
        <v>1358</v>
      </c>
    </row>
    <row r="512" spans="1:3" x14ac:dyDescent="0.25">
      <c r="A512" s="3" t="s">
        <v>1359</v>
      </c>
      <c r="B512" s="3" t="s">
        <v>1360</v>
      </c>
      <c r="C512" s="3" t="s">
        <v>1361</v>
      </c>
    </row>
    <row r="513" spans="1:3" x14ac:dyDescent="0.25">
      <c r="A513" s="3" t="s">
        <v>1362</v>
      </c>
      <c r="B513" s="3" t="s">
        <v>1363</v>
      </c>
      <c r="C513" s="3" t="s">
        <v>1364</v>
      </c>
    </row>
    <row r="514" spans="1:3" x14ac:dyDescent="0.25">
      <c r="A514" s="3" t="s">
        <v>1365</v>
      </c>
      <c r="B514" s="3" t="s">
        <v>1363</v>
      </c>
      <c r="C514" s="3" t="s">
        <v>1364</v>
      </c>
    </row>
    <row r="515" spans="1:3" x14ac:dyDescent="0.25">
      <c r="A515" s="3" t="s">
        <v>1366</v>
      </c>
      <c r="B515" s="3" t="s">
        <v>1367</v>
      </c>
      <c r="C515" s="3" t="s">
        <v>1368</v>
      </c>
    </row>
    <row r="516" spans="1:3" x14ac:dyDescent="0.25">
      <c r="A516" s="3" t="s">
        <v>1369</v>
      </c>
      <c r="B516" s="3" t="s">
        <v>1367</v>
      </c>
      <c r="C516" s="3" t="s">
        <v>1368</v>
      </c>
    </row>
    <row r="517" spans="1:3" x14ac:dyDescent="0.25">
      <c r="A517" s="3" t="s">
        <v>1370</v>
      </c>
      <c r="B517" s="3" t="s">
        <v>1330</v>
      </c>
      <c r="C517" s="3" t="s">
        <v>1371</v>
      </c>
    </row>
    <row r="518" spans="1:3" x14ac:dyDescent="0.25">
      <c r="A518" s="3" t="s">
        <v>1372</v>
      </c>
      <c r="B518" s="3" t="s">
        <v>1373</v>
      </c>
      <c r="C518" s="3" t="s">
        <v>1374</v>
      </c>
    </row>
    <row r="519" spans="1:3" x14ac:dyDescent="0.25">
      <c r="A519" s="3" t="s">
        <v>1375</v>
      </c>
      <c r="B519" s="3" t="s">
        <v>1376</v>
      </c>
      <c r="C519" s="3" t="s">
        <v>1377</v>
      </c>
    </row>
    <row r="520" spans="1:3" x14ac:dyDescent="0.25">
      <c r="A520" s="3" t="s">
        <v>1378</v>
      </c>
      <c r="B520" s="3" t="s">
        <v>1379</v>
      </c>
      <c r="C520" s="3" t="s">
        <v>1380</v>
      </c>
    </row>
    <row r="521" spans="1:3" x14ac:dyDescent="0.25">
      <c r="A521" s="3" t="s">
        <v>1381</v>
      </c>
      <c r="B521" s="3" t="s">
        <v>1379</v>
      </c>
      <c r="C521" s="3" t="s">
        <v>1380</v>
      </c>
    </row>
    <row r="522" spans="1:3" x14ac:dyDescent="0.25">
      <c r="A522" s="3" t="s">
        <v>1382</v>
      </c>
      <c r="B522" s="3" t="s">
        <v>1383</v>
      </c>
      <c r="C522" s="3" t="s">
        <v>1384</v>
      </c>
    </row>
    <row r="523" spans="1:3" x14ac:dyDescent="0.25">
      <c r="A523" s="3" t="s">
        <v>1385</v>
      </c>
      <c r="B523" s="3" t="s">
        <v>1383</v>
      </c>
      <c r="C523" s="3" t="s">
        <v>1384</v>
      </c>
    </row>
    <row r="524" spans="1:3" x14ac:dyDescent="0.25">
      <c r="A524" s="3" t="s">
        <v>1386</v>
      </c>
      <c r="B524" s="3" t="s">
        <v>1387</v>
      </c>
      <c r="C524" s="3" t="s">
        <v>1388</v>
      </c>
    </row>
    <row r="525" spans="1:3" x14ac:dyDescent="0.25">
      <c r="A525" s="3" t="s">
        <v>1389</v>
      </c>
      <c r="B525" s="3" t="s">
        <v>1390</v>
      </c>
      <c r="C525" s="3" t="s">
        <v>1391</v>
      </c>
    </row>
    <row r="526" spans="1:3" x14ac:dyDescent="0.25">
      <c r="A526" s="3" t="s">
        <v>1392</v>
      </c>
      <c r="B526" s="3" t="s">
        <v>1393</v>
      </c>
      <c r="C526" s="3" t="s">
        <v>1394</v>
      </c>
    </row>
    <row r="527" spans="1:3" x14ac:dyDescent="0.25">
      <c r="A527" s="3" t="s">
        <v>1395</v>
      </c>
      <c r="B527" s="3" t="s">
        <v>1396</v>
      </c>
      <c r="C527" s="3" t="s">
        <v>1397</v>
      </c>
    </row>
    <row r="528" spans="1:3" x14ac:dyDescent="0.25">
      <c r="A528" s="3" t="s">
        <v>1398</v>
      </c>
      <c r="B528" s="3" t="s">
        <v>1399</v>
      </c>
      <c r="C528" s="3" t="s">
        <v>1400</v>
      </c>
    </row>
    <row r="529" spans="1:3" x14ac:dyDescent="0.25">
      <c r="A529" s="3" t="s">
        <v>1401</v>
      </c>
      <c r="B529" s="3" t="s">
        <v>1402</v>
      </c>
      <c r="C529" s="3" t="s">
        <v>1403</v>
      </c>
    </row>
    <row r="530" spans="1:3" x14ac:dyDescent="0.25">
      <c r="A530" s="3" t="s">
        <v>1404</v>
      </c>
      <c r="B530" s="3" t="s">
        <v>1405</v>
      </c>
      <c r="C530" s="3" t="s">
        <v>1406</v>
      </c>
    </row>
    <row r="531" spans="1:3" x14ac:dyDescent="0.25">
      <c r="A531" s="3" t="s">
        <v>1407</v>
      </c>
      <c r="B531" s="3" t="s">
        <v>1408</v>
      </c>
      <c r="C531" s="3" t="s">
        <v>1409</v>
      </c>
    </row>
    <row r="532" spans="1:3" x14ac:dyDescent="0.25">
      <c r="A532" s="3" t="s">
        <v>1410</v>
      </c>
      <c r="B532" s="3" t="s">
        <v>1411</v>
      </c>
      <c r="C532" s="3" t="s">
        <v>1412</v>
      </c>
    </row>
    <row r="533" spans="1:3" x14ac:dyDescent="0.25">
      <c r="A533" s="3" t="s">
        <v>1413</v>
      </c>
      <c r="B533" s="3" t="s">
        <v>1414</v>
      </c>
      <c r="C533" s="3" t="s">
        <v>1415</v>
      </c>
    </row>
    <row r="534" spans="1:3" x14ac:dyDescent="0.25">
      <c r="A534" s="3" t="s">
        <v>1416</v>
      </c>
      <c r="B534" s="3" t="s">
        <v>1417</v>
      </c>
      <c r="C534" s="3" t="s">
        <v>1418</v>
      </c>
    </row>
    <row r="535" spans="1:3" x14ac:dyDescent="0.25">
      <c r="A535" s="3" t="s">
        <v>1419</v>
      </c>
      <c r="B535" s="3" t="s">
        <v>1420</v>
      </c>
      <c r="C535" s="3" t="s">
        <v>1421</v>
      </c>
    </row>
    <row r="536" spans="1:3" x14ac:dyDescent="0.25">
      <c r="A536" s="3" t="s">
        <v>1422</v>
      </c>
      <c r="B536" s="3" t="s">
        <v>1420</v>
      </c>
      <c r="C536" s="3" t="s">
        <v>1421</v>
      </c>
    </row>
    <row r="537" spans="1:3" x14ac:dyDescent="0.25">
      <c r="A537" s="3" t="s">
        <v>1423</v>
      </c>
      <c r="B537" s="3" t="s">
        <v>1424</v>
      </c>
      <c r="C537" s="3" t="s">
        <v>1425</v>
      </c>
    </row>
    <row r="538" spans="1:3" x14ac:dyDescent="0.25">
      <c r="A538" s="3" t="s">
        <v>1426</v>
      </c>
      <c r="B538" s="3" t="s">
        <v>1424</v>
      </c>
      <c r="C538" s="3" t="s">
        <v>1425</v>
      </c>
    </row>
    <row r="539" spans="1:3" x14ac:dyDescent="0.25">
      <c r="A539" s="3" t="s">
        <v>1427</v>
      </c>
      <c r="B539" s="3" t="s">
        <v>1428</v>
      </c>
      <c r="C539" s="3" t="s">
        <v>1429</v>
      </c>
    </row>
    <row r="540" spans="1:3" x14ac:dyDescent="0.25">
      <c r="A540" s="3" t="s">
        <v>1430</v>
      </c>
      <c r="B540" s="3" t="s">
        <v>1431</v>
      </c>
      <c r="C540" s="3" t="s">
        <v>1432</v>
      </c>
    </row>
    <row r="541" spans="1:3" x14ac:dyDescent="0.25">
      <c r="A541" s="3" t="s">
        <v>1433</v>
      </c>
      <c r="B541" s="3" t="s">
        <v>1434</v>
      </c>
      <c r="C541" s="3" t="s">
        <v>1435</v>
      </c>
    </row>
    <row r="542" spans="1:3" x14ac:dyDescent="0.25">
      <c r="A542" s="3" t="s">
        <v>1436</v>
      </c>
      <c r="B542" s="3" t="s">
        <v>1437</v>
      </c>
      <c r="C542" s="3" t="s">
        <v>1438</v>
      </c>
    </row>
    <row r="543" spans="1:3" x14ac:dyDescent="0.25">
      <c r="A543" s="3" t="s">
        <v>1439</v>
      </c>
      <c r="B543" s="3" t="s">
        <v>1440</v>
      </c>
      <c r="C543" s="3" t="s">
        <v>1441</v>
      </c>
    </row>
    <row r="544" spans="1:3" x14ac:dyDescent="0.25">
      <c r="A544" s="3" t="s">
        <v>1442</v>
      </c>
      <c r="B544" s="3" t="s">
        <v>1443</v>
      </c>
      <c r="C544" s="3" t="s">
        <v>1444</v>
      </c>
    </row>
    <row r="545" spans="1:3" x14ac:dyDescent="0.25">
      <c r="A545" s="3" t="s">
        <v>1445</v>
      </c>
      <c r="B545" s="3" t="s">
        <v>1443</v>
      </c>
      <c r="C545" s="3" t="s">
        <v>1444</v>
      </c>
    </row>
    <row r="546" spans="1:3" x14ac:dyDescent="0.25">
      <c r="A546" s="3" t="s">
        <v>1446</v>
      </c>
      <c r="B546" s="3" t="s">
        <v>1447</v>
      </c>
      <c r="C546" s="3" t="s">
        <v>1448</v>
      </c>
    </row>
    <row r="547" spans="1:3" x14ac:dyDescent="0.25">
      <c r="A547" s="3" t="s">
        <v>1449</v>
      </c>
      <c r="B547" s="3" t="s">
        <v>1447</v>
      </c>
      <c r="C547" s="3" t="s">
        <v>1448</v>
      </c>
    </row>
    <row r="548" spans="1:3" x14ac:dyDescent="0.25">
      <c r="A548" s="3" t="s">
        <v>1450</v>
      </c>
      <c r="B548" s="3" t="s">
        <v>1451</v>
      </c>
      <c r="C548" s="3" t="s">
        <v>1452</v>
      </c>
    </row>
    <row r="549" spans="1:3" x14ac:dyDescent="0.25">
      <c r="A549" s="3" t="s">
        <v>1453</v>
      </c>
      <c r="B549" s="3" t="s">
        <v>1454</v>
      </c>
      <c r="C549" s="3" t="s">
        <v>1455</v>
      </c>
    </row>
    <row r="550" spans="1:3" x14ac:dyDescent="0.25">
      <c r="A550" s="3" t="s">
        <v>1456</v>
      </c>
      <c r="B550" s="3" t="s">
        <v>1457</v>
      </c>
      <c r="C550" s="3" t="s">
        <v>1458</v>
      </c>
    </row>
    <row r="551" spans="1:3" x14ac:dyDescent="0.25">
      <c r="A551" s="3" t="s">
        <v>1459</v>
      </c>
      <c r="B551" s="3" t="s">
        <v>1460</v>
      </c>
      <c r="C551" s="3" t="s">
        <v>1461</v>
      </c>
    </row>
    <row r="552" spans="1:3" x14ac:dyDescent="0.25">
      <c r="A552" s="3" t="s">
        <v>1462</v>
      </c>
      <c r="B552" s="3" t="s">
        <v>1463</v>
      </c>
      <c r="C552" s="3" t="s">
        <v>1464</v>
      </c>
    </row>
    <row r="553" spans="1:3" x14ac:dyDescent="0.25">
      <c r="A553" s="3" t="s">
        <v>1465</v>
      </c>
      <c r="B553" s="3" t="s">
        <v>1466</v>
      </c>
      <c r="C553" s="3" t="s">
        <v>1467</v>
      </c>
    </row>
    <row r="554" spans="1:3" x14ac:dyDescent="0.25">
      <c r="A554" s="3" t="s">
        <v>1468</v>
      </c>
      <c r="B554" s="3" t="s">
        <v>1469</v>
      </c>
      <c r="C554" s="3" t="s">
        <v>1470</v>
      </c>
    </row>
    <row r="555" spans="1:3" x14ac:dyDescent="0.25">
      <c r="A555" s="3" t="s">
        <v>1471</v>
      </c>
      <c r="B555" s="3" t="s">
        <v>1472</v>
      </c>
      <c r="C555" s="3" t="s">
        <v>1473</v>
      </c>
    </row>
    <row r="556" spans="1:3" x14ac:dyDescent="0.25">
      <c r="A556" s="3" t="s">
        <v>1474</v>
      </c>
      <c r="B556" s="3" t="s">
        <v>1475</v>
      </c>
      <c r="C556" s="3" t="s">
        <v>1476</v>
      </c>
    </row>
    <row r="557" spans="1:3" x14ac:dyDescent="0.25">
      <c r="A557" s="3" t="s">
        <v>1477</v>
      </c>
      <c r="B557" s="3" t="s">
        <v>1478</v>
      </c>
      <c r="C557" s="3" t="s">
        <v>1479</v>
      </c>
    </row>
    <row r="558" spans="1:3" x14ac:dyDescent="0.25">
      <c r="A558" s="3" t="s">
        <v>1480</v>
      </c>
      <c r="B558" s="3" t="s">
        <v>1481</v>
      </c>
      <c r="C558" s="3" t="s">
        <v>1482</v>
      </c>
    </row>
    <row r="559" spans="1:3" x14ac:dyDescent="0.25">
      <c r="A559" s="3" t="s">
        <v>1483</v>
      </c>
      <c r="B559" s="3" t="s">
        <v>1484</v>
      </c>
      <c r="C559" s="3" t="s">
        <v>1485</v>
      </c>
    </row>
    <row r="560" spans="1:3" x14ac:dyDescent="0.25">
      <c r="A560" s="3" t="s">
        <v>1486</v>
      </c>
      <c r="B560" s="3" t="s">
        <v>1484</v>
      </c>
      <c r="C560" s="3" t="s">
        <v>1485</v>
      </c>
    </row>
    <row r="561" spans="1:3" x14ac:dyDescent="0.25">
      <c r="A561" s="3" t="s">
        <v>1487</v>
      </c>
      <c r="B561" s="3" t="s">
        <v>1488</v>
      </c>
      <c r="C561" s="3" t="s">
        <v>1489</v>
      </c>
    </row>
    <row r="562" spans="1:3" x14ac:dyDescent="0.25">
      <c r="A562" s="3" t="s">
        <v>1490</v>
      </c>
      <c r="B562" s="3" t="s">
        <v>1491</v>
      </c>
      <c r="C562" s="3" t="s">
        <v>1492</v>
      </c>
    </row>
    <row r="563" spans="1:3" x14ac:dyDescent="0.25">
      <c r="A563" s="3" t="s">
        <v>1493</v>
      </c>
      <c r="B563" s="3" t="s">
        <v>1494</v>
      </c>
      <c r="C563" s="3" t="s">
        <v>1495</v>
      </c>
    </row>
    <row r="564" spans="1:3" x14ac:dyDescent="0.25">
      <c r="A564" s="3" t="s">
        <v>1496</v>
      </c>
      <c r="B564" s="3" t="s">
        <v>1497</v>
      </c>
      <c r="C564" s="3" t="s">
        <v>1498</v>
      </c>
    </row>
    <row r="565" spans="1:3" x14ac:dyDescent="0.25">
      <c r="A565" s="3" t="s">
        <v>1499</v>
      </c>
      <c r="B565" s="3" t="s">
        <v>1500</v>
      </c>
      <c r="C565" s="3" t="s">
        <v>1501</v>
      </c>
    </row>
    <row r="566" spans="1:3" x14ac:dyDescent="0.25">
      <c r="A566" s="3" t="s">
        <v>1502</v>
      </c>
      <c r="B566" s="3" t="s">
        <v>1503</v>
      </c>
      <c r="C566" s="3" t="s">
        <v>1504</v>
      </c>
    </row>
    <row r="567" spans="1:3" x14ac:dyDescent="0.25">
      <c r="A567" s="3" t="s">
        <v>1505</v>
      </c>
      <c r="B567" s="3" t="s">
        <v>1506</v>
      </c>
      <c r="C567" s="3" t="s">
        <v>1507</v>
      </c>
    </row>
    <row r="568" spans="1:3" x14ac:dyDescent="0.25">
      <c r="A568" s="3" t="s">
        <v>1508</v>
      </c>
      <c r="B568" s="3" t="s">
        <v>1509</v>
      </c>
      <c r="C568" s="3" t="s">
        <v>1510</v>
      </c>
    </row>
    <row r="569" spans="1:3" x14ac:dyDescent="0.25">
      <c r="A569" s="3" t="s">
        <v>1511</v>
      </c>
      <c r="B569" s="3" t="s">
        <v>1509</v>
      </c>
      <c r="C569" s="3" t="s">
        <v>1510</v>
      </c>
    </row>
    <row r="570" spans="1:3" x14ac:dyDescent="0.25">
      <c r="A570" s="3" t="s">
        <v>1512</v>
      </c>
      <c r="B570" s="3" t="s">
        <v>1509</v>
      </c>
      <c r="C570" s="3" t="s">
        <v>1510</v>
      </c>
    </row>
    <row r="571" spans="1:3" x14ac:dyDescent="0.25">
      <c r="A571" s="3" t="s">
        <v>1513</v>
      </c>
      <c r="B571" s="3" t="s">
        <v>1514</v>
      </c>
      <c r="C571" s="3" t="s">
        <v>1515</v>
      </c>
    </row>
    <row r="572" spans="1:3" x14ac:dyDescent="0.25">
      <c r="A572" s="3" t="s">
        <v>1516</v>
      </c>
      <c r="B572" s="3" t="s">
        <v>1517</v>
      </c>
      <c r="C572" s="3" t="s">
        <v>1518</v>
      </c>
    </row>
    <row r="573" spans="1:3" x14ac:dyDescent="0.25">
      <c r="A573" s="3" t="s">
        <v>1519</v>
      </c>
      <c r="B573" s="3" t="s">
        <v>1520</v>
      </c>
      <c r="C573" s="3" t="s">
        <v>1521</v>
      </c>
    </row>
    <row r="574" spans="1:3" x14ac:dyDescent="0.25">
      <c r="A574" s="3" t="s">
        <v>1522</v>
      </c>
      <c r="B574" s="3" t="s">
        <v>1520</v>
      </c>
      <c r="C574" s="3" t="s">
        <v>1521</v>
      </c>
    </row>
    <row r="575" spans="1:3" x14ac:dyDescent="0.25">
      <c r="A575" s="3" t="s">
        <v>1523</v>
      </c>
      <c r="B575" s="3" t="s">
        <v>1520</v>
      </c>
      <c r="C575" s="3" t="s">
        <v>1521</v>
      </c>
    </row>
    <row r="576" spans="1:3" x14ac:dyDescent="0.25">
      <c r="A576" s="3" t="s">
        <v>1524</v>
      </c>
      <c r="B576" s="3" t="s">
        <v>1525</v>
      </c>
      <c r="C576" s="3" t="s">
        <v>1526</v>
      </c>
    </row>
    <row r="577" spans="1:3" x14ac:dyDescent="0.25">
      <c r="A577" s="3" t="s">
        <v>1527</v>
      </c>
      <c r="B577" s="3" t="s">
        <v>1528</v>
      </c>
      <c r="C577" s="3" t="s">
        <v>1529</v>
      </c>
    </row>
    <row r="578" spans="1:3" x14ac:dyDescent="0.25">
      <c r="A578" s="3" t="s">
        <v>1530</v>
      </c>
      <c r="B578" s="3" t="s">
        <v>1531</v>
      </c>
      <c r="C578" s="3" t="s">
        <v>1532</v>
      </c>
    </row>
    <row r="579" spans="1:3" x14ac:dyDescent="0.25">
      <c r="A579" s="3" t="s">
        <v>1533</v>
      </c>
      <c r="B579" s="3" t="s">
        <v>1534</v>
      </c>
      <c r="C579" s="3" t="s">
        <v>1535</v>
      </c>
    </row>
    <row r="580" spans="1:3" x14ac:dyDescent="0.25">
      <c r="A580" s="3" t="s">
        <v>1536</v>
      </c>
      <c r="B580" s="3" t="s">
        <v>1534</v>
      </c>
      <c r="C580" s="3" t="s">
        <v>1535</v>
      </c>
    </row>
    <row r="581" spans="1:3" x14ac:dyDescent="0.25">
      <c r="A581" s="3" t="s">
        <v>1537</v>
      </c>
      <c r="B581" s="3" t="s">
        <v>1538</v>
      </c>
      <c r="C581" s="3" t="s">
        <v>1539</v>
      </c>
    </row>
    <row r="582" spans="1:3" x14ac:dyDescent="0.25">
      <c r="A582" s="3" t="s">
        <v>1540</v>
      </c>
      <c r="B582" s="3" t="s">
        <v>1541</v>
      </c>
      <c r="C582" s="3" t="s">
        <v>1542</v>
      </c>
    </row>
    <row r="583" spans="1:3" x14ac:dyDescent="0.25">
      <c r="A583" s="3" t="s">
        <v>1543</v>
      </c>
      <c r="B583" s="3" t="s">
        <v>1541</v>
      </c>
      <c r="C583" s="3" t="s">
        <v>1542</v>
      </c>
    </row>
    <row r="584" spans="1:3" x14ac:dyDescent="0.25">
      <c r="A584" s="3" t="s">
        <v>1544</v>
      </c>
      <c r="B584" s="3" t="s">
        <v>1541</v>
      </c>
      <c r="C584" s="3" t="s">
        <v>1542</v>
      </c>
    </row>
    <row r="585" spans="1:3" x14ac:dyDescent="0.25">
      <c r="A585" s="3" t="s">
        <v>28</v>
      </c>
      <c r="B585" s="3" t="s">
        <v>1545</v>
      </c>
      <c r="C585" s="3" t="s">
        <v>1546</v>
      </c>
    </row>
    <row r="586" spans="1:3" x14ac:dyDescent="0.25">
      <c r="A586" s="3" t="s">
        <v>1547</v>
      </c>
      <c r="B586" s="3" t="s">
        <v>1545</v>
      </c>
      <c r="C586" s="3" t="s">
        <v>1546</v>
      </c>
    </row>
    <row r="587" spans="1:3" x14ac:dyDescent="0.25">
      <c r="A587" s="3" t="s">
        <v>1548</v>
      </c>
      <c r="B587" s="3" t="s">
        <v>1545</v>
      </c>
      <c r="C587" s="3" t="s">
        <v>1546</v>
      </c>
    </row>
    <row r="588" spans="1:3" x14ac:dyDescent="0.25">
      <c r="A588" s="3" t="s">
        <v>1549</v>
      </c>
      <c r="B588" s="3" t="s">
        <v>1550</v>
      </c>
      <c r="C588" s="3" t="s">
        <v>1551</v>
      </c>
    </row>
    <row r="589" spans="1:3" x14ac:dyDescent="0.25">
      <c r="A589" s="3" t="s">
        <v>1552</v>
      </c>
      <c r="B589" s="3" t="s">
        <v>1553</v>
      </c>
      <c r="C589" s="3" t="s">
        <v>1554</v>
      </c>
    </row>
    <row r="590" spans="1:3" x14ac:dyDescent="0.25">
      <c r="A590" s="3" t="s">
        <v>1555</v>
      </c>
      <c r="B590" s="3" t="s">
        <v>1556</v>
      </c>
      <c r="C590" s="3" t="s">
        <v>1557</v>
      </c>
    </row>
    <row r="591" spans="1:3" x14ac:dyDescent="0.25">
      <c r="A591" s="3" t="s">
        <v>1558</v>
      </c>
      <c r="B591" s="3" t="s">
        <v>1559</v>
      </c>
      <c r="C591" s="3" t="s">
        <v>1560</v>
      </c>
    </row>
    <row r="592" spans="1:3" x14ac:dyDescent="0.25">
      <c r="A592" s="3" t="s">
        <v>1561</v>
      </c>
      <c r="B592" s="3" t="s">
        <v>1562</v>
      </c>
      <c r="C592" s="3" t="s">
        <v>1563</v>
      </c>
    </row>
    <row r="593" spans="1:3" x14ac:dyDescent="0.25">
      <c r="A593" s="3" t="s">
        <v>1564</v>
      </c>
      <c r="B593" s="3" t="s">
        <v>1565</v>
      </c>
      <c r="C593" s="3" t="s">
        <v>1566</v>
      </c>
    </row>
    <row r="594" spans="1:3" x14ac:dyDescent="0.25">
      <c r="A594" s="3" t="s">
        <v>1567</v>
      </c>
      <c r="B594" s="3" t="s">
        <v>1568</v>
      </c>
      <c r="C594" s="3" t="s">
        <v>1569</v>
      </c>
    </row>
    <row r="595" spans="1:3" x14ac:dyDescent="0.25">
      <c r="A595" s="3" t="s">
        <v>1570</v>
      </c>
      <c r="B595" s="3" t="s">
        <v>1571</v>
      </c>
      <c r="C595" s="3" t="s">
        <v>1572</v>
      </c>
    </row>
    <row r="596" spans="1:3" x14ac:dyDescent="0.25">
      <c r="A596" s="3" t="s">
        <v>1573</v>
      </c>
      <c r="B596" s="3" t="s">
        <v>1574</v>
      </c>
      <c r="C596" s="3" t="s">
        <v>1575</v>
      </c>
    </row>
    <row r="597" spans="1:3" x14ac:dyDescent="0.25">
      <c r="A597" s="3" t="s">
        <v>1576</v>
      </c>
      <c r="B597" s="3" t="s">
        <v>1577</v>
      </c>
      <c r="C597" s="3" t="s">
        <v>1578</v>
      </c>
    </row>
    <row r="598" spans="1:3" x14ac:dyDescent="0.25">
      <c r="A598" s="3" t="s">
        <v>1579</v>
      </c>
      <c r="B598" s="3" t="s">
        <v>1580</v>
      </c>
      <c r="C598" s="3" t="s">
        <v>1581</v>
      </c>
    </row>
    <row r="599" spans="1:3" x14ac:dyDescent="0.25">
      <c r="A599" s="3" t="s">
        <v>1582</v>
      </c>
      <c r="B599" s="3" t="s">
        <v>1580</v>
      </c>
      <c r="C599" s="3" t="s">
        <v>1581</v>
      </c>
    </row>
    <row r="600" spans="1:3" x14ac:dyDescent="0.25">
      <c r="A600" s="3" t="s">
        <v>1583</v>
      </c>
      <c r="B600" s="3" t="s">
        <v>1584</v>
      </c>
      <c r="C600" s="3" t="s">
        <v>1585</v>
      </c>
    </row>
    <row r="601" spans="1:3" x14ac:dyDescent="0.25">
      <c r="A601" s="3" t="s">
        <v>1586</v>
      </c>
      <c r="B601" s="3" t="s">
        <v>1587</v>
      </c>
      <c r="C601" s="3" t="s">
        <v>1588</v>
      </c>
    </row>
    <row r="602" spans="1:3" x14ac:dyDescent="0.25">
      <c r="A602" s="3" t="s">
        <v>1589</v>
      </c>
      <c r="B602" s="3" t="s">
        <v>1590</v>
      </c>
      <c r="C602" s="3" t="s">
        <v>1591</v>
      </c>
    </row>
    <row r="603" spans="1:3" x14ac:dyDescent="0.25">
      <c r="A603" s="3" t="s">
        <v>1592</v>
      </c>
      <c r="B603" s="3" t="s">
        <v>1590</v>
      </c>
      <c r="C603" s="3" t="s">
        <v>1591</v>
      </c>
    </row>
    <row r="604" spans="1:3" x14ac:dyDescent="0.25">
      <c r="A604" s="3" t="s">
        <v>1593</v>
      </c>
      <c r="B604" s="3" t="s">
        <v>1590</v>
      </c>
      <c r="C604" s="3" t="s">
        <v>1591</v>
      </c>
    </row>
    <row r="605" spans="1:3" x14ac:dyDescent="0.25">
      <c r="A605" s="3" t="s">
        <v>1594</v>
      </c>
      <c r="B605" s="3" t="s">
        <v>339</v>
      </c>
      <c r="C605" s="3" t="s">
        <v>1595</v>
      </c>
    </row>
    <row r="606" spans="1:3" x14ac:dyDescent="0.25">
      <c r="A606" s="3" t="s">
        <v>1596</v>
      </c>
      <c r="B606" s="3" t="s">
        <v>1597</v>
      </c>
      <c r="C606" s="3" t="s">
        <v>1598</v>
      </c>
    </row>
    <row r="607" spans="1:3" x14ac:dyDescent="0.25">
      <c r="A607" s="3" t="s">
        <v>1599</v>
      </c>
      <c r="B607" s="3" t="s">
        <v>1600</v>
      </c>
      <c r="C607" s="3" t="s">
        <v>1601</v>
      </c>
    </row>
    <row r="608" spans="1:3" x14ac:dyDescent="0.25">
      <c r="A608" s="3" t="s">
        <v>1602</v>
      </c>
      <c r="B608" s="3" t="s">
        <v>1603</v>
      </c>
      <c r="C608" s="3" t="s">
        <v>1604</v>
      </c>
    </row>
    <row r="609" spans="1:3" x14ac:dyDescent="0.25">
      <c r="A609" s="3" t="s">
        <v>1605</v>
      </c>
      <c r="B609" s="3" t="s">
        <v>1606</v>
      </c>
      <c r="C609" s="3" t="s">
        <v>1607</v>
      </c>
    </row>
    <row r="610" spans="1:3" x14ac:dyDescent="0.25">
      <c r="A610" s="3" t="s">
        <v>1608</v>
      </c>
      <c r="B610" s="3" t="s">
        <v>1606</v>
      </c>
      <c r="C610" s="3" t="s">
        <v>1607</v>
      </c>
    </row>
    <row r="611" spans="1:3" x14ac:dyDescent="0.25">
      <c r="A611" s="3" t="s">
        <v>1609</v>
      </c>
      <c r="B611" s="3" t="s">
        <v>1606</v>
      </c>
      <c r="C611" s="3" t="s">
        <v>1607</v>
      </c>
    </row>
    <row r="612" spans="1:3" x14ac:dyDescent="0.25">
      <c r="A612" s="3" t="s">
        <v>1610</v>
      </c>
      <c r="B612" s="3" t="s">
        <v>1611</v>
      </c>
      <c r="C612" s="3" t="s">
        <v>1612</v>
      </c>
    </row>
    <row r="613" spans="1:3" x14ac:dyDescent="0.25">
      <c r="A613" s="3" t="s">
        <v>1613</v>
      </c>
      <c r="B613" s="3" t="s">
        <v>1614</v>
      </c>
      <c r="C613" s="3" t="s">
        <v>1615</v>
      </c>
    </row>
    <row r="614" spans="1:3" x14ac:dyDescent="0.25">
      <c r="A614" s="3" t="s">
        <v>1616</v>
      </c>
      <c r="B614" s="3" t="s">
        <v>1614</v>
      </c>
      <c r="C614" s="3" t="s">
        <v>1615</v>
      </c>
    </row>
    <row r="615" spans="1:3" x14ac:dyDescent="0.25">
      <c r="A615" s="3" t="s">
        <v>1617</v>
      </c>
      <c r="B615" s="3" t="s">
        <v>1614</v>
      </c>
      <c r="C615" s="3" t="s">
        <v>1615</v>
      </c>
    </row>
    <row r="616" spans="1:3" x14ac:dyDescent="0.25">
      <c r="A616" s="3" t="s">
        <v>1618</v>
      </c>
      <c r="B616" s="3" t="s">
        <v>1619</v>
      </c>
      <c r="C616" s="3" t="s">
        <v>1620</v>
      </c>
    </row>
    <row r="617" spans="1:3" x14ac:dyDescent="0.25">
      <c r="A617" s="3" t="s">
        <v>1621</v>
      </c>
      <c r="B617" s="3" t="s">
        <v>1619</v>
      </c>
      <c r="C617" s="3" t="s">
        <v>1620</v>
      </c>
    </row>
    <row r="618" spans="1:3" x14ac:dyDescent="0.25">
      <c r="A618" s="3" t="s">
        <v>1622</v>
      </c>
      <c r="B618" s="3" t="s">
        <v>1619</v>
      </c>
      <c r="C618" s="3" t="s">
        <v>1620</v>
      </c>
    </row>
    <row r="619" spans="1:3" x14ac:dyDescent="0.25">
      <c r="A619" s="3" t="s">
        <v>1623</v>
      </c>
      <c r="B619" s="3" t="s">
        <v>1624</v>
      </c>
      <c r="C619" s="3" t="s">
        <v>1625</v>
      </c>
    </row>
    <row r="620" spans="1:3" x14ac:dyDescent="0.25">
      <c r="A620" s="3" t="s">
        <v>1626</v>
      </c>
      <c r="B620" s="3" t="s">
        <v>1627</v>
      </c>
      <c r="C620" s="3" t="s">
        <v>1628</v>
      </c>
    </row>
    <row r="621" spans="1:3" x14ac:dyDescent="0.25">
      <c r="A621" s="3" t="s">
        <v>1629</v>
      </c>
      <c r="B621" s="3" t="s">
        <v>1630</v>
      </c>
      <c r="C621" s="3" t="s">
        <v>1631</v>
      </c>
    </row>
    <row r="622" spans="1:3" x14ac:dyDescent="0.25">
      <c r="A622" s="3" t="s">
        <v>1632</v>
      </c>
      <c r="B622" s="3" t="s">
        <v>1633</v>
      </c>
      <c r="C622" s="3" t="s">
        <v>1634</v>
      </c>
    </row>
    <row r="623" spans="1:3" x14ac:dyDescent="0.25">
      <c r="A623" s="3" t="s">
        <v>1635</v>
      </c>
      <c r="B623" s="3" t="s">
        <v>1636</v>
      </c>
      <c r="C623" s="3" t="s">
        <v>1637</v>
      </c>
    </row>
    <row r="624" spans="1:3" x14ac:dyDescent="0.25">
      <c r="A624" s="3" t="s">
        <v>1638</v>
      </c>
      <c r="B624" s="3" t="s">
        <v>1639</v>
      </c>
      <c r="C624" s="3" t="s">
        <v>1640</v>
      </c>
    </row>
    <row r="625" spans="1:3" x14ac:dyDescent="0.25">
      <c r="A625" s="3" t="s">
        <v>1641</v>
      </c>
      <c r="B625" s="3" t="s">
        <v>1639</v>
      </c>
      <c r="C625" s="3" t="s">
        <v>1640</v>
      </c>
    </row>
    <row r="626" spans="1:3" x14ac:dyDescent="0.25">
      <c r="A626" s="3" t="s">
        <v>1642</v>
      </c>
      <c r="B626" s="3" t="s">
        <v>1639</v>
      </c>
      <c r="C626" s="3" t="s">
        <v>1640</v>
      </c>
    </row>
    <row r="627" spans="1:3" x14ac:dyDescent="0.25">
      <c r="A627" s="3" t="s">
        <v>1643</v>
      </c>
      <c r="B627" s="3" t="s">
        <v>1644</v>
      </c>
      <c r="C627" s="3" t="s">
        <v>1645</v>
      </c>
    </row>
    <row r="628" spans="1:3" x14ac:dyDescent="0.25">
      <c r="A628" s="3" t="s">
        <v>1646</v>
      </c>
      <c r="B628" s="3" t="s">
        <v>1647</v>
      </c>
      <c r="C628" s="3" t="s">
        <v>1648</v>
      </c>
    </row>
    <row r="629" spans="1:3" x14ac:dyDescent="0.25">
      <c r="A629" s="3" t="s">
        <v>1649</v>
      </c>
      <c r="B629" s="3" t="s">
        <v>1647</v>
      </c>
      <c r="C629" s="3" t="s">
        <v>1648</v>
      </c>
    </row>
    <row r="630" spans="1:3" x14ac:dyDescent="0.25">
      <c r="A630" s="3" t="s">
        <v>1650</v>
      </c>
      <c r="B630" s="3" t="s">
        <v>1647</v>
      </c>
      <c r="C630" s="3" t="s">
        <v>1648</v>
      </c>
    </row>
    <row r="631" spans="1:3" x14ac:dyDescent="0.25">
      <c r="A631" s="3" t="s">
        <v>1651</v>
      </c>
      <c r="B631" s="3" t="s">
        <v>1652</v>
      </c>
      <c r="C631" s="3" t="s">
        <v>1653</v>
      </c>
    </row>
    <row r="632" spans="1:3" x14ac:dyDescent="0.25">
      <c r="A632" s="3" t="s">
        <v>1654</v>
      </c>
      <c r="B632" s="3" t="s">
        <v>1652</v>
      </c>
      <c r="C632" s="3" t="s">
        <v>1653</v>
      </c>
    </row>
    <row r="633" spans="1:3" x14ac:dyDescent="0.25">
      <c r="A633" s="3" t="s">
        <v>1655</v>
      </c>
      <c r="B633" s="3" t="s">
        <v>1652</v>
      </c>
      <c r="C633" s="3" t="s">
        <v>1653</v>
      </c>
    </row>
    <row r="634" spans="1:3" x14ac:dyDescent="0.25">
      <c r="A634" s="3" t="s">
        <v>1656</v>
      </c>
      <c r="B634" s="3" t="s">
        <v>1652</v>
      </c>
      <c r="C634" s="3" t="s">
        <v>1653</v>
      </c>
    </row>
    <row r="635" spans="1:3" x14ac:dyDescent="0.25">
      <c r="A635" s="3" t="s">
        <v>1657</v>
      </c>
      <c r="B635" s="3" t="s">
        <v>1652</v>
      </c>
      <c r="C635" s="3" t="s">
        <v>1653</v>
      </c>
    </row>
    <row r="636" spans="1:3" x14ac:dyDescent="0.25">
      <c r="A636" s="3" t="s">
        <v>1658</v>
      </c>
      <c r="B636" s="3" t="s">
        <v>1659</v>
      </c>
      <c r="C636" s="3" t="s">
        <v>1660</v>
      </c>
    </row>
    <row r="637" spans="1:3" x14ac:dyDescent="0.25">
      <c r="A637" s="3" t="s">
        <v>1661</v>
      </c>
      <c r="B637" s="3" t="s">
        <v>1662</v>
      </c>
      <c r="C637" s="3" t="s">
        <v>1663</v>
      </c>
    </row>
    <row r="638" spans="1:3" x14ac:dyDescent="0.25">
      <c r="A638" s="3" t="s">
        <v>1664</v>
      </c>
      <c r="B638" s="3" t="s">
        <v>1662</v>
      </c>
      <c r="C638" s="3" t="s">
        <v>1663</v>
      </c>
    </row>
    <row r="639" spans="1:3" x14ac:dyDescent="0.25">
      <c r="A639" s="3" t="s">
        <v>1665</v>
      </c>
      <c r="B639" s="3" t="s">
        <v>1666</v>
      </c>
      <c r="C639" s="3" t="s">
        <v>1667</v>
      </c>
    </row>
    <row r="640" spans="1:3" x14ac:dyDescent="0.25">
      <c r="A640" s="3" t="s">
        <v>1668</v>
      </c>
      <c r="B640" s="3" t="s">
        <v>1669</v>
      </c>
      <c r="C640" s="3" t="s">
        <v>1670</v>
      </c>
    </row>
    <row r="641" spans="1:3" x14ac:dyDescent="0.25">
      <c r="A641" s="3" t="s">
        <v>1671</v>
      </c>
      <c r="B641" s="3" t="s">
        <v>1672</v>
      </c>
      <c r="C641" s="3" t="s">
        <v>1673</v>
      </c>
    </row>
    <row r="642" spans="1:3" x14ac:dyDescent="0.25">
      <c r="A642" s="3" t="s">
        <v>1674</v>
      </c>
      <c r="B642" s="3" t="s">
        <v>1672</v>
      </c>
      <c r="C642" s="3" t="s">
        <v>1673</v>
      </c>
    </row>
    <row r="643" spans="1:3" x14ac:dyDescent="0.25">
      <c r="A643" s="3" t="s">
        <v>1675</v>
      </c>
      <c r="B643" s="3" t="s">
        <v>1676</v>
      </c>
      <c r="C643" s="3" t="s">
        <v>1677</v>
      </c>
    </row>
    <row r="644" spans="1:3" x14ac:dyDescent="0.25">
      <c r="A644" s="3" t="s">
        <v>1678</v>
      </c>
      <c r="B644" s="3" t="s">
        <v>1676</v>
      </c>
      <c r="C644" s="3" t="s">
        <v>1677</v>
      </c>
    </row>
    <row r="645" spans="1:3" x14ac:dyDescent="0.25">
      <c r="A645" s="3" t="s">
        <v>1679</v>
      </c>
      <c r="B645" s="3" t="s">
        <v>1680</v>
      </c>
      <c r="C645" s="3" t="s">
        <v>1681</v>
      </c>
    </row>
    <row r="646" spans="1:3" x14ac:dyDescent="0.25">
      <c r="A646" s="3" t="s">
        <v>1682</v>
      </c>
      <c r="B646" s="3" t="s">
        <v>1683</v>
      </c>
      <c r="C646" s="3" t="s">
        <v>1684</v>
      </c>
    </row>
    <row r="647" spans="1:3" x14ac:dyDescent="0.25">
      <c r="A647" s="3" t="s">
        <v>1685</v>
      </c>
      <c r="B647" s="3" t="s">
        <v>1683</v>
      </c>
      <c r="C647" s="3" t="s">
        <v>1684</v>
      </c>
    </row>
    <row r="648" spans="1:3" x14ac:dyDescent="0.25">
      <c r="A648" s="3" t="s">
        <v>1686</v>
      </c>
      <c r="B648" s="3" t="s">
        <v>1687</v>
      </c>
      <c r="C648" s="3" t="s">
        <v>1688</v>
      </c>
    </row>
    <row r="649" spans="1:3" x14ac:dyDescent="0.25">
      <c r="A649" s="3" t="s">
        <v>1689</v>
      </c>
      <c r="B649" s="3" t="s">
        <v>1690</v>
      </c>
      <c r="C649" s="3" t="s">
        <v>1691</v>
      </c>
    </row>
    <row r="650" spans="1:3" x14ac:dyDescent="0.25">
      <c r="A650" s="3" t="s">
        <v>1692</v>
      </c>
      <c r="B650" s="3" t="s">
        <v>1693</v>
      </c>
      <c r="C650" s="3" t="s">
        <v>1694</v>
      </c>
    </row>
    <row r="651" spans="1:3" x14ac:dyDescent="0.25">
      <c r="A651" s="3" t="s">
        <v>1695</v>
      </c>
      <c r="B651" s="3" t="s">
        <v>1696</v>
      </c>
      <c r="C651" s="3" t="s">
        <v>1697</v>
      </c>
    </row>
    <row r="652" spans="1:3" x14ac:dyDescent="0.25">
      <c r="A652" s="3" t="s">
        <v>1698</v>
      </c>
      <c r="B652" s="3" t="s">
        <v>1696</v>
      </c>
      <c r="C652" s="3" t="s">
        <v>1697</v>
      </c>
    </row>
    <row r="653" spans="1:3" x14ac:dyDescent="0.25">
      <c r="A653" s="3" t="s">
        <v>1699</v>
      </c>
      <c r="B653" s="3" t="s">
        <v>1696</v>
      </c>
      <c r="C653" s="3" t="s">
        <v>1697</v>
      </c>
    </row>
    <row r="654" spans="1:3" x14ac:dyDescent="0.25">
      <c r="A654" s="3" t="s">
        <v>1700</v>
      </c>
      <c r="B654" s="3" t="s">
        <v>1701</v>
      </c>
      <c r="C654" s="3" t="s">
        <v>1702</v>
      </c>
    </row>
    <row r="655" spans="1:3" x14ac:dyDescent="0.25">
      <c r="A655" s="3" t="s">
        <v>1703</v>
      </c>
      <c r="B655" s="3" t="s">
        <v>1704</v>
      </c>
      <c r="C655" s="3" t="s">
        <v>1705</v>
      </c>
    </row>
    <row r="656" spans="1:3" x14ac:dyDescent="0.25">
      <c r="A656" s="3" t="s">
        <v>1706</v>
      </c>
      <c r="B656" s="3" t="s">
        <v>1704</v>
      </c>
      <c r="C656" s="3" t="s">
        <v>1705</v>
      </c>
    </row>
    <row r="657" spans="1:3" x14ac:dyDescent="0.25">
      <c r="A657" s="3" t="s">
        <v>1707</v>
      </c>
      <c r="B657" s="3" t="s">
        <v>1708</v>
      </c>
      <c r="C657" s="3" t="s">
        <v>1709</v>
      </c>
    </row>
    <row r="658" spans="1:3" x14ac:dyDescent="0.25">
      <c r="A658" s="3" t="s">
        <v>1710</v>
      </c>
      <c r="B658" s="3" t="s">
        <v>1711</v>
      </c>
      <c r="C658" s="3" t="s">
        <v>1712</v>
      </c>
    </row>
    <row r="659" spans="1:3" x14ac:dyDescent="0.25">
      <c r="A659" s="3" t="s">
        <v>1713</v>
      </c>
      <c r="B659" s="3" t="s">
        <v>1714</v>
      </c>
      <c r="C659" s="3" t="s">
        <v>1715</v>
      </c>
    </row>
    <row r="660" spans="1:3" x14ac:dyDescent="0.25">
      <c r="A660" s="3" t="s">
        <v>1716</v>
      </c>
      <c r="B660" s="3" t="s">
        <v>1717</v>
      </c>
      <c r="C660" s="3" t="s">
        <v>1718</v>
      </c>
    </row>
    <row r="661" spans="1:3" x14ac:dyDescent="0.25">
      <c r="A661" s="3" t="s">
        <v>1719</v>
      </c>
      <c r="B661" s="3" t="s">
        <v>1720</v>
      </c>
      <c r="C661" s="3" t="s">
        <v>1721</v>
      </c>
    </row>
    <row r="662" spans="1:3" x14ac:dyDescent="0.25">
      <c r="A662" s="3" t="s">
        <v>1722</v>
      </c>
      <c r="B662" s="3" t="s">
        <v>1720</v>
      </c>
      <c r="C662" s="3" t="s">
        <v>1721</v>
      </c>
    </row>
    <row r="663" spans="1:3" x14ac:dyDescent="0.25">
      <c r="A663" s="3" t="s">
        <v>1723</v>
      </c>
      <c r="B663" s="3" t="s">
        <v>1724</v>
      </c>
      <c r="C663" s="3" t="s">
        <v>1725</v>
      </c>
    </row>
    <row r="664" spans="1:3" x14ac:dyDescent="0.25">
      <c r="A664" s="3" t="s">
        <v>1726</v>
      </c>
      <c r="B664" s="3" t="s">
        <v>1727</v>
      </c>
      <c r="C664" s="3" t="s">
        <v>1728</v>
      </c>
    </row>
    <row r="665" spans="1:3" x14ac:dyDescent="0.25">
      <c r="A665" s="3" t="s">
        <v>1729</v>
      </c>
      <c r="B665" s="3" t="s">
        <v>1730</v>
      </c>
      <c r="C665" s="3" t="s">
        <v>1731</v>
      </c>
    </row>
    <row r="666" spans="1:3" x14ac:dyDescent="0.25">
      <c r="A666" s="3" t="s">
        <v>1732</v>
      </c>
      <c r="B666" s="3" t="s">
        <v>1733</v>
      </c>
      <c r="C666" s="3" t="s">
        <v>1734</v>
      </c>
    </row>
    <row r="667" spans="1:3" x14ac:dyDescent="0.25">
      <c r="A667" s="3" t="s">
        <v>1735</v>
      </c>
      <c r="B667" s="3" t="s">
        <v>1736</v>
      </c>
      <c r="C667" s="3" t="s">
        <v>1737</v>
      </c>
    </row>
    <row r="668" spans="1:3" x14ac:dyDescent="0.25">
      <c r="A668" s="3" t="s">
        <v>1738</v>
      </c>
      <c r="B668" s="3" t="s">
        <v>1739</v>
      </c>
      <c r="C668" s="3" t="s">
        <v>1740</v>
      </c>
    </row>
    <row r="669" spans="1:3" x14ac:dyDescent="0.25">
      <c r="A669" s="3" t="s">
        <v>1741</v>
      </c>
      <c r="B669" s="3" t="s">
        <v>1742</v>
      </c>
      <c r="C669" s="3" t="s">
        <v>1743</v>
      </c>
    </row>
    <row r="670" spans="1:3" x14ac:dyDescent="0.25">
      <c r="A670" s="3" t="s">
        <v>1744</v>
      </c>
      <c r="B670" s="3" t="s">
        <v>1745</v>
      </c>
      <c r="C670" s="3" t="s">
        <v>1746</v>
      </c>
    </row>
    <row r="671" spans="1:3" x14ac:dyDescent="0.25">
      <c r="A671" s="3" t="s">
        <v>1747</v>
      </c>
      <c r="B671" s="3" t="s">
        <v>1745</v>
      </c>
      <c r="C671" s="3" t="s">
        <v>1746</v>
      </c>
    </row>
    <row r="672" spans="1:3" x14ac:dyDescent="0.25">
      <c r="A672" s="3" t="s">
        <v>1748</v>
      </c>
      <c r="B672" s="3" t="s">
        <v>1745</v>
      </c>
      <c r="C672" s="3" t="s">
        <v>1746</v>
      </c>
    </row>
    <row r="673" spans="1:3" x14ac:dyDescent="0.25">
      <c r="A673" s="3" t="s">
        <v>1749</v>
      </c>
      <c r="B673" s="3" t="s">
        <v>1750</v>
      </c>
      <c r="C673" s="3" t="s">
        <v>1751</v>
      </c>
    </row>
    <row r="674" spans="1:3" x14ac:dyDescent="0.25">
      <c r="A674" s="3" t="s">
        <v>1752</v>
      </c>
      <c r="B674" s="3" t="s">
        <v>1753</v>
      </c>
      <c r="C674" s="3" t="s">
        <v>1754</v>
      </c>
    </row>
    <row r="675" spans="1:3" x14ac:dyDescent="0.25">
      <c r="A675" s="3" t="s">
        <v>1755</v>
      </c>
      <c r="B675" s="3" t="s">
        <v>1753</v>
      </c>
      <c r="C675" s="3" t="s">
        <v>1754</v>
      </c>
    </row>
    <row r="676" spans="1:3" x14ac:dyDescent="0.25">
      <c r="A676" s="3" t="s">
        <v>1756</v>
      </c>
      <c r="B676" s="3" t="s">
        <v>1753</v>
      </c>
      <c r="C676" s="3" t="s">
        <v>1754</v>
      </c>
    </row>
    <row r="677" spans="1:3" x14ac:dyDescent="0.25">
      <c r="A677" s="3" t="s">
        <v>1757</v>
      </c>
      <c r="B677" s="3" t="s">
        <v>1758</v>
      </c>
      <c r="C677" s="3" t="s">
        <v>1759</v>
      </c>
    </row>
    <row r="678" spans="1:3" x14ac:dyDescent="0.25">
      <c r="A678" s="3" t="s">
        <v>1760</v>
      </c>
      <c r="B678" s="3" t="s">
        <v>1761</v>
      </c>
      <c r="C678" s="3" t="s">
        <v>1762</v>
      </c>
    </row>
    <row r="679" spans="1:3" x14ac:dyDescent="0.25">
      <c r="A679" s="3" t="s">
        <v>1763</v>
      </c>
      <c r="B679" s="3" t="s">
        <v>1764</v>
      </c>
      <c r="C679" s="3" t="s">
        <v>1765</v>
      </c>
    </row>
    <row r="680" spans="1:3" x14ac:dyDescent="0.25">
      <c r="A680" s="3" t="s">
        <v>1766</v>
      </c>
      <c r="B680" s="3" t="s">
        <v>1767</v>
      </c>
      <c r="C680" s="3" t="s">
        <v>1768</v>
      </c>
    </row>
    <row r="681" spans="1:3" x14ac:dyDescent="0.25">
      <c r="A681" s="3" t="s">
        <v>1769</v>
      </c>
      <c r="B681" s="3" t="s">
        <v>1770</v>
      </c>
      <c r="C681" s="3" t="s">
        <v>1771</v>
      </c>
    </row>
    <row r="682" spans="1:3" x14ac:dyDescent="0.25">
      <c r="A682" s="3" t="s">
        <v>1772</v>
      </c>
      <c r="B682" s="3" t="s">
        <v>1773</v>
      </c>
      <c r="C682" s="3" t="s">
        <v>1774</v>
      </c>
    </row>
    <row r="683" spans="1:3" x14ac:dyDescent="0.25">
      <c r="A683" s="3" t="s">
        <v>1775</v>
      </c>
      <c r="B683" s="3" t="s">
        <v>1776</v>
      </c>
      <c r="C683" s="3" t="s">
        <v>1777</v>
      </c>
    </row>
    <row r="684" spans="1:3" x14ac:dyDescent="0.25">
      <c r="A684" s="3" t="s">
        <v>1778</v>
      </c>
      <c r="B684" s="3" t="s">
        <v>1779</v>
      </c>
      <c r="C684" s="3" t="s">
        <v>1780</v>
      </c>
    </row>
    <row r="685" spans="1:3" x14ac:dyDescent="0.25">
      <c r="A685" s="3" t="s">
        <v>1781</v>
      </c>
      <c r="B685" s="3" t="s">
        <v>1779</v>
      </c>
      <c r="C685" s="3" t="s">
        <v>1780</v>
      </c>
    </row>
    <row r="686" spans="1:3" x14ac:dyDescent="0.25">
      <c r="A686" s="3" t="s">
        <v>1782</v>
      </c>
      <c r="B686" s="3" t="s">
        <v>1783</v>
      </c>
      <c r="C686" s="3" t="s">
        <v>1784</v>
      </c>
    </row>
    <row r="687" spans="1:3" x14ac:dyDescent="0.25">
      <c r="A687" s="3" t="s">
        <v>1785</v>
      </c>
      <c r="B687" s="3" t="s">
        <v>1786</v>
      </c>
      <c r="C687" s="3" t="s">
        <v>1787</v>
      </c>
    </row>
    <row r="688" spans="1:3" x14ac:dyDescent="0.25">
      <c r="A688" s="3" t="s">
        <v>1788</v>
      </c>
      <c r="B688" s="3" t="s">
        <v>1789</v>
      </c>
      <c r="C688" s="3" t="s">
        <v>1790</v>
      </c>
    </row>
    <row r="689" spans="1:3" x14ac:dyDescent="0.25">
      <c r="A689" s="3" t="s">
        <v>1791</v>
      </c>
      <c r="B689" s="3" t="s">
        <v>1792</v>
      </c>
      <c r="C689" s="3" t="s">
        <v>1793</v>
      </c>
    </row>
    <row r="690" spans="1:3" x14ac:dyDescent="0.25">
      <c r="A690" s="3" t="s">
        <v>1794</v>
      </c>
      <c r="B690" s="3" t="s">
        <v>1792</v>
      </c>
      <c r="C690" s="3" t="s">
        <v>1793</v>
      </c>
    </row>
    <row r="691" spans="1:3" x14ac:dyDescent="0.25">
      <c r="A691" s="3" t="s">
        <v>1795</v>
      </c>
      <c r="B691" s="3" t="s">
        <v>1796</v>
      </c>
      <c r="C691" s="3" t="s">
        <v>1797</v>
      </c>
    </row>
    <row r="692" spans="1:3" x14ac:dyDescent="0.25">
      <c r="A692" s="3" t="s">
        <v>1798</v>
      </c>
      <c r="B692" s="3" t="s">
        <v>1799</v>
      </c>
      <c r="C692" s="3" t="s">
        <v>1800</v>
      </c>
    </row>
    <row r="693" spans="1:3" x14ac:dyDescent="0.25">
      <c r="A693" s="3" t="s">
        <v>1801</v>
      </c>
      <c r="B693" s="3" t="s">
        <v>1802</v>
      </c>
      <c r="C693" s="3" t="s">
        <v>1803</v>
      </c>
    </row>
    <row r="694" spans="1:3" x14ac:dyDescent="0.25">
      <c r="A694" s="3" t="s">
        <v>1804</v>
      </c>
      <c r="B694" s="3" t="s">
        <v>1805</v>
      </c>
      <c r="C694" s="3" t="s">
        <v>1806</v>
      </c>
    </row>
    <row r="695" spans="1:3" x14ac:dyDescent="0.25">
      <c r="A695" s="3" t="s">
        <v>1807</v>
      </c>
      <c r="B695" s="3" t="s">
        <v>1808</v>
      </c>
      <c r="C695" s="3" t="s">
        <v>1809</v>
      </c>
    </row>
    <row r="696" spans="1:3" x14ac:dyDescent="0.25">
      <c r="A696" s="3" t="s">
        <v>1810</v>
      </c>
      <c r="B696" s="3" t="s">
        <v>1808</v>
      </c>
      <c r="C696" s="3" t="s">
        <v>1809</v>
      </c>
    </row>
    <row r="697" spans="1:3" x14ac:dyDescent="0.25">
      <c r="A697" s="3" t="s">
        <v>1811</v>
      </c>
      <c r="B697" s="3" t="s">
        <v>1812</v>
      </c>
      <c r="C697" s="3" t="s">
        <v>1813</v>
      </c>
    </row>
    <row r="698" spans="1:3" x14ac:dyDescent="0.25">
      <c r="A698" s="3" t="s">
        <v>1814</v>
      </c>
      <c r="B698" s="3" t="s">
        <v>1815</v>
      </c>
      <c r="C698" s="3" t="s">
        <v>1816</v>
      </c>
    </row>
    <row r="699" spans="1:3" x14ac:dyDescent="0.25">
      <c r="A699" s="3" t="s">
        <v>1817</v>
      </c>
      <c r="B699" s="3" t="s">
        <v>1815</v>
      </c>
      <c r="C699" s="3" t="s">
        <v>1816</v>
      </c>
    </row>
    <row r="700" spans="1:3" x14ac:dyDescent="0.25">
      <c r="A700" s="3" t="s">
        <v>1818</v>
      </c>
      <c r="B700" s="3" t="s">
        <v>1819</v>
      </c>
      <c r="C700" s="3" t="s">
        <v>1820</v>
      </c>
    </row>
    <row r="701" spans="1:3" x14ac:dyDescent="0.25">
      <c r="A701" s="3" t="s">
        <v>1821</v>
      </c>
      <c r="B701" s="3" t="s">
        <v>1822</v>
      </c>
      <c r="C701" s="3" t="s">
        <v>1823</v>
      </c>
    </row>
    <row r="702" spans="1:3" x14ac:dyDescent="0.25">
      <c r="A702" s="3" t="s">
        <v>1824</v>
      </c>
      <c r="B702" s="3" t="s">
        <v>1825</v>
      </c>
      <c r="C702" s="3" t="s">
        <v>1826</v>
      </c>
    </row>
    <row r="703" spans="1:3" x14ac:dyDescent="0.25">
      <c r="A703" s="3" t="s">
        <v>1827</v>
      </c>
      <c r="B703" s="3" t="s">
        <v>1828</v>
      </c>
      <c r="C703" s="3" t="s">
        <v>1829</v>
      </c>
    </row>
    <row r="704" spans="1:3" x14ac:dyDescent="0.25">
      <c r="A704" s="3" t="s">
        <v>1830</v>
      </c>
      <c r="B704" s="3" t="s">
        <v>1831</v>
      </c>
      <c r="C704" s="3" t="s">
        <v>1832</v>
      </c>
    </row>
    <row r="705" spans="1:3" x14ac:dyDescent="0.25">
      <c r="A705" s="3" t="s">
        <v>1833</v>
      </c>
      <c r="B705" s="3" t="s">
        <v>1834</v>
      </c>
      <c r="C705" s="3" t="s">
        <v>1835</v>
      </c>
    </row>
    <row r="706" spans="1:3" x14ac:dyDescent="0.25">
      <c r="A706" s="3" t="s">
        <v>1836</v>
      </c>
      <c r="B706" s="3" t="s">
        <v>1837</v>
      </c>
      <c r="C706" s="3" t="s">
        <v>1838</v>
      </c>
    </row>
    <row r="707" spans="1:3" x14ac:dyDescent="0.25">
      <c r="A707" s="3" t="s">
        <v>1839</v>
      </c>
      <c r="B707" s="3" t="s">
        <v>1840</v>
      </c>
      <c r="C707" s="3" t="s">
        <v>1841</v>
      </c>
    </row>
    <row r="708" spans="1:3" x14ac:dyDescent="0.25">
      <c r="A708" s="3" t="s">
        <v>1842</v>
      </c>
      <c r="B708" s="3" t="s">
        <v>1843</v>
      </c>
      <c r="C708" s="3" t="s">
        <v>1844</v>
      </c>
    </row>
    <row r="709" spans="1:3" x14ac:dyDescent="0.25">
      <c r="A709" s="3" t="s">
        <v>29</v>
      </c>
      <c r="B709" s="3" t="s">
        <v>1845</v>
      </c>
      <c r="C709" s="3" t="s">
        <v>1846</v>
      </c>
    </row>
    <row r="710" spans="1:3" x14ac:dyDescent="0.25">
      <c r="A710" s="3" t="s">
        <v>27</v>
      </c>
      <c r="B710" s="3" t="s">
        <v>1847</v>
      </c>
      <c r="C710" s="3" t="s">
        <v>1848</v>
      </c>
    </row>
    <row r="711" spans="1:3" x14ac:dyDescent="0.25">
      <c r="A711" s="3" t="s">
        <v>72</v>
      </c>
      <c r="C711" s="3" t="s">
        <v>1849</v>
      </c>
    </row>
    <row r="712" spans="1:3" x14ac:dyDescent="0.25">
      <c r="A712" s="3" t="s">
        <v>1850</v>
      </c>
      <c r="C712" s="3" t="s">
        <v>1851</v>
      </c>
    </row>
    <row r="713" spans="1:3" x14ac:dyDescent="0.25">
      <c r="A713" s="3" t="s">
        <v>1852</v>
      </c>
      <c r="B713" s="3" t="s">
        <v>1853</v>
      </c>
      <c r="C713" s="3" t="s">
        <v>1854</v>
      </c>
    </row>
    <row r="714" spans="1:3" x14ac:dyDescent="0.25">
      <c r="A714" s="3" t="s">
        <v>68</v>
      </c>
      <c r="B714" s="3" t="s">
        <v>1862</v>
      </c>
      <c r="C714" s="3" t="s">
        <v>1863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2B711-1971-4791-A866-879C4A35254F}">
  <sheetPr codeName="Planilha16"/>
  <dimension ref="A1:B9"/>
  <sheetViews>
    <sheetView zoomScale="145" zoomScaleNormal="145" workbookViewId="0">
      <selection activeCell="A2" sqref="A2:B9"/>
    </sheetView>
  </sheetViews>
  <sheetFormatPr defaultRowHeight="15" x14ac:dyDescent="0.25"/>
  <cols>
    <col min="1" max="1" width="9.85546875" style="3" bestFit="1" customWidth="1"/>
    <col min="2" max="2" width="11.140625" style="3" bestFit="1" customWidth="1"/>
  </cols>
  <sheetData>
    <row r="1" spans="1:2" x14ac:dyDescent="0.25">
      <c r="A1" s="3" t="s">
        <v>6</v>
      </c>
      <c r="B1" s="3" t="s">
        <v>1897</v>
      </c>
    </row>
    <row r="2" spans="1:2" x14ac:dyDescent="0.25">
      <c r="A2" s="3" t="s">
        <v>1626</v>
      </c>
      <c r="B2" s="26">
        <v>43713</v>
      </c>
    </row>
    <row r="3" spans="1:2" x14ac:dyDescent="0.25">
      <c r="A3" s="3" t="s">
        <v>154</v>
      </c>
      <c r="B3" s="26">
        <v>44231</v>
      </c>
    </row>
    <row r="4" spans="1:2" x14ac:dyDescent="0.25">
      <c r="A4" s="3" t="s">
        <v>1395</v>
      </c>
      <c r="B4" s="26">
        <v>44225</v>
      </c>
    </row>
    <row r="5" spans="1:2" x14ac:dyDescent="0.25">
      <c r="A5" s="3" t="s">
        <v>923</v>
      </c>
      <c r="B5" s="26">
        <v>45291</v>
      </c>
    </row>
    <row r="6" spans="1:2" x14ac:dyDescent="0.25">
      <c r="A6" s="3" t="s">
        <v>1898</v>
      </c>
      <c r="B6" s="26">
        <v>45291</v>
      </c>
    </row>
    <row r="7" spans="1:2" x14ac:dyDescent="0.25">
      <c r="A7" s="3" t="s">
        <v>1285</v>
      </c>
      <c r="B7" s="26">
        <v>45291</v>
      </c>
    </row>
    <row r="8" spans="1:2" x14ac:dyDescent="0.25">
      <c r="A8" s="3" t="s">
        <v>866</v>
      </c>
      <c r="B8" s="26">
        <v>45291</v>
      </c>
    </row>
    <row r="9" spans="1:2" x14ac:dyDescent="0.25">
      <c r="A9" s="3" t="s">
        <v>1401</v>
      </c>
      <c r="B9" s="26">
        <v>45291</v>
      </c>
    </row>
  </sheetData>
  <hyperlinks>
    <hyperlink ref="A1" r:id="rId1" xr:uid="{BFE40481-B34C-4EAA-90F3-A9D4C2AC9A1F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4A7BA7-0839-4DD3-98BF-0ABCF65381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Instruções</vt:lpstr>
      <vt:lpstr>Macros</vt:lpstr>
      <vt:lpstr>Notas</vt:lpstr>
      <vt:lpstr>Notas Day Trade</vt:lpstr>
      <vt:lpstr>Movimentações</vt:lpstr>
      <vt:lpstr>Resumo</vt:lpstr>
      <vt:lpstr>Imposto de Renda</vt:lpstr>
      <vt:lpstr>Imposto de Renda Day Trade</vt:lpstr>
      <vt:lpstr>Imposto de Renda F.I.I.</vt:lpstr>
      <vt:lpstr>DARF a Pagar</vt:lpstr>
      <vt:lpstr>Bens e Direitos</vt:lpstr>
      <vt:lpstr>Operações Comuns - Day Trade</vt:lpstr>
      <vt:lpstr>Operações Fundos Invest. Imob.</vt:lpstr>
      <vt:lpstr>Cotações</vt:lpstr>
      <vt:lpstr>Opções</vt:lpstr>
      <vt:lpstr>Feriados</vt:lpstr>
      <vt:lpstr>Empresas Listadas</vt:lpstr>
      <vt:lpstr>Ações Isentas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Leandro Henrique</cp:lastModifiedBy>
  <dcterms:created xsi:type="dcterms:W3CDTF">2021-02-12T16:54:41Z</dcterms:created>
  <dcterms:modified xsi:type="dcterms:W3CDTF">2023-10-19T00:35:40Z</dcterms:modified>
</cp:coreProperties>
</file>